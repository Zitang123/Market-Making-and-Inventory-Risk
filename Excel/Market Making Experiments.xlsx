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zitangyu/Library/Mobile Documents/com~apple~CloudDocs/University/Extra/Research Projects/Quantitative Finance Projects/Market Making and Inventory Risk/Excel/"/>
    </mc:Choice>
  </mc:AlternateContent>
  <xr:revisionPtr revIDLastSave="0" documentId="13_ncr:1_{F62F641A-4B3B-C446-B721-3ADD48910928}" xr6:coauthVersionLast="47" xr6:coauthVersionMax="47" xr10:uidLastSave="{00000000-0000-0000-0000-000000000000}"/>
  <bookViews>
    <workbookView xWindow="0" yWindow="660" windowWidth="30240" windowHeight="17300" activeTab="1" xr2:uid="{00000000-000D-0000-FFFF-FFFF00000000}"/>
  </bookViews>
  <sheets>
    <sheet name="Parameters" sheetId="1" r:id="rId1"/>
    <sheet name="Trades" sheetId="2" r:id="rId2"/>
    <sheet name="Experiments" sheetId="3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2" l="1"/>
  <c r="K22" i="2"/>
  <c r="J22" i="2"/>
  <c r="I22" i="2"/>
  <c r="H22" i="2"/>
  <c r="G22" i="2"/>
  <c r="F22" i="2"/>
  <c r="E22" i="2"/>
  <c r="C22" i="2"/>
  <c r="R21" i="2"/>
  <c r="Q21" i="2"/>
  <c r="D21" i="2"/>
  <c r="R20" i="2"/>
  <c r="Q20" i="2"/>
  <c r="D20" i="2"/>
  <c r="R19" i="2"/>
  <c r="Q19" i="2"/>
  <c r="D19" i="2"/>
  <c r="R18" i="2"/>
  <c r="Q18" i="2"/>
  <c r="D18" i="2"/>
  <c r="R17" i="2"/>
  <c r="Q17" i="2"/>
  <c r="D17" i="2"/>
  <c r="R16" i="2"/>
  <c r="Q16" i="2"/>
  <c r="D16" i="2"/>
  <c r="R15" i="2"/>
  <c r="Q15" i="2"/>
  <c r="D15" i="2"/>
  <c r="R14" i="2"/>
  <c r="Q14" i="2"/>
  <c r="D14" i="2"/>
  <c r="R13" i="2"/>
  <c r="Q13" i="2"/>
  <c r="D13" i="2"/>
  <c r="R12" i="2"/>
  <c r="Q12" i="2"/>
  <c r="D12" i="2"/>
  <c r="R11" i="2"/>
  <c r="Q11" i="2"/>
  <c r="D11" i="2"/>
  <c r="R10" i="2"/>
  <c r="Q10" i="2"/>
  <c r="D10" i="2"/>
  <c r="R9" i="2"/>
  <c r="Q9" i="2"/>
  <c r="D9" i="2"/>
  <c r="R8" i="2"/>
  <c r="Q8" i="2"/>
  <c r="D8" i="2"/>
  <c r="R7" i="2"/>
  <c r="Q7" i="2"/>
  <c r="D7" i="2"/>
  <c r="R6" i="2"/>
  <c r="Q6" i="2"/>
  <c r="D6" i="2"/>
  <c r="R5" i="2"/>
  <c r="Q5" i="2"/>
  <c r="D5" i="2"/>
  <c r="R4" i="2"/>
  <c r="Q4" i="2"/>
  <c r="D4" i="2"/>
  <c r="R3" i="2"/>
  <c r="Q3" i="2"/>
  <c r="D3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R2" i="2"/>
  <c r="Q2" i="2"/>
  <c r="E2" i="2"/>
  <c r="D2" i="2"/>
  <c r="C2" i="2"/>
  <c r="B378" i="3"/>
  <c r="B377" i="3"/>
  <c r="B376" i="3"/>
  <c r="B375" i="3"/>
  <c r="E36" i="3"/>
  <c r="B36" i="3"/>
  <c r="G35" i="3"/>
  <c r="F35" i="3"/>
  <c r="E35" i="3"/>
  <c r="D35" i="3"/>
  <c r="C35" i="3"/>
  <c r="B35" i="3"/>
  <c r="E39" i="3" l="1"/>
  <c r="E38" i="3"/>
  <c r="F2" i="2"/>
  <c r="H2" i="2" s="1"/>
  <c r="C3" i="2"/>
  <c r="M2" i="2"/>
  <c r="B2" i="2" s="1"/>
  <c r="P2" i="2" s="1"/>
  <c r="G2" i="2" l="1"/>
  <c r="K2" i="2"/>
  <c r="E3" i="2" s="1"/>
  <c r="F3" i="2" s="1"/>
  <c r="I2" i="2"/>
  <c r="J2" i="2" s="1"/>
  <c r="C4" i="2"/>
  <c r="L2" i="2" l="1"/>
  <c r="G3" i="2"/>
  <c r="H3" i="2"/>
  <c r="C5" i="2"/>
  <c r="M3" i="2"/>
  <c r="B3" i="2" s="1"/>
  <c r="P3" i="2" s="1"/>
  <c r="K3" i="2" l="1"/>
  <c r="E4" i="2" s="1"/>
  <c r="F4" i="2" s="1"/>
  <c r="I3" i="2"/>
  <c r="J3" i="2" s="1"/>
  <c r="L3" i="2" s="1"/>
  <c r="C6" i="2"/>
  <c r="C7" i="2" l="1"/>
  <c r="G4" i="2"/>
  <c r="H4" i="2"/>
  <c r="M4" i="2"/>
  <c r="B4" i="2" s="1"/>
  <c r="P4" i="2" s="1"/>
  <c r="I4" i="2" l="1"/>
  <c r="J4" i="2" s="1"/>
  <c r="K4" i="2"/>
  <c r="E5" i="2" s="1"/>
  <c r="F5" i="2" s="1"/>
  <c r="C8" i="2"/>
  <c r="L4" i="2" l="1"/>
  <c r="C9" i="2"/>
  <c r="H5" i="2"/>
  <c r="G5" i="2"/>
  <c r="M5" i="2"/>
  <c r="B5" i="2" s="1"/>
  <c r="P5" i="2" s="1"/>
  <c r="K5" i="2" l="1"/>
  <c r="E6" i="2" s="1"/>
  <c r="F6" i="2" s="1"/>
  <c r="I5" i="2"/>
  <c r="J5" i="2" s="1"/>
  <c r="C10" i="2"/>
  <c r="L5" i="2" l="1"/>
  <c r="C11" i="2"/>
  <c r="G6" i="2"/>
  <c r="H6" i="2"/>
  <c r="M6" i="2"/>
  <c r="B6" i="2" s="1"/>
  <c r="P6" i="2" s="1"/>
  <c r="K6" i="2" l="1"/>
  <c r="E7" i="2" s="1"/>
  <c r="I6" i="2"/>
  <c r="J6" i="2" s="1"/>
  <c r="C12" i="2"/>
  <c r="L6" i="2" l="1"/>
  <c r="C13" i="2"/>
  <c r="F7" i="2"/>
  <c r="G7" i="2" l="1"/>
  <c r="H7" i="2"/>
  <c r="M7" i="2"/>
  <c r="B7" i="2" s="1"/>
  <c r="P7" i="2" s="1"/>
  <c r="C14" i="2"/>
  <c r="I7" i="2" l="1"/>
  <c r="J7" i="2" s="1"/>
  <c r="K7" i="2"/>
  <c r="E8" i="2" s="1"/>
  <c r="F8" i="2" s="1"/>
  <c r="C15" i="2"/>
  <c r="L7" i="2" l="1"/>
  <c r="H8" i="2"/>
  <c r="M8" i="2"/>
  <c r="B8" i="2" s="1"/>
  <c r="P8" i="2" s="1"/>
  <c r="G8" i="2"/>
  <c r="C16" i="2"/>
  <c r="K8" i="2" l="1"/>
  <c r="E9" i="2" s="1"/>
  <c r="F9" i="2" s="1"/>
  <c r="I8" i="2"/>
  <c r="J8" i="2" s="1"/>
  <c r="L8" i="2" s="1"/>
  <c r="C17" i="2"/>
  <c r="G9" i="2" l="1"/>
  <c r="H9" i="2"/>
  <c r="M9" i="2"/>
  <c r="B9" i="2" s="1"/>
  <c r="P9" i="2" s="1"/>
  <c r="C18" i="2"/>
  <c r="K9" i="2" l="1"/>
  <c r="E10" i="2" s="1"/>
  <c r="F10" i="2" s="1"/>
  <c r="I9" i="2"/>
  <c r="J9" i="2" s="1"/>
  <c r="L9" i="2" s="1"/>
  <c r="C19" i="2"/>
  <c r="G10" i="2" l="1"/>
  <c r="H10" i="2"/>
  <c r="M10" i="2"/>
  <c r="B10" i="2" s="1"/>
  <c r="P10" i="2" s="1"/>
  <c r="C20" i="2"/>
  <c r="K10" i="2" l="1"/>
  <c r="E11" i="2" s="1"/>
  <c r="F11" i="2" s="1"/>
  <c r="I10" i="2"/>
  <c r="J10" i="2" s="1"/>
  <c r="L10" i="2" s="1"/>
  <c r="C21" i="2"/>
  <c r="G11" i="2" l="1"/>
  <c r="M11" i="2"/>
  <c r="B11" i="2" s="1"/>
  <c r="P11" i="2" s="1"/>
  <c r="H11" i="2"/>
  <c r="I11" i="2" l="1"/>
  <c r="J11" i="2" s="1"/>
  <c r="K11" i="2"/>
  <c r="E12" i="2" s="1"/>
  <c r="F12" i="2" s="1"/>
  <c r="H12" i="2" l="1"/>
  <c r="G12" i="2"/>
  <c r="M12" i="2"/>
  <c r="B12" i="2" s="1"/>
  <c r="P12" i="2" s="1"/>
  <c r="L11" i="2"/>
  <c r="K12" i="2" l="1"/>
  <c r="E13" i="2" s="1"/>
  <c r="F13" i="2" s="1"/>
  <c r="G13" i="2" s="1"/>
  <c r="I12" i="2"/>
  <c r="J12" i="2" s="1"/>
  <c r="M13" i="2" l="1"/>
  <c r="B13" i="2" s="1"/>
  <c r="P13" i="2" s="1"/>
  <c r="I13" i="2" s="1"/>
  <c r="H13" i="2"/>
  <c r="L12" i="2"/>
  <c r="K13" i="2" l="1"/>
  <c r="E14" i="2" s="1"/>
  <c r="F14" i="2" s="1"/>
  <c r="H14" i="2" s="1"/>
  <c r="J13" i="2"/>
  <c r="G14" i="2"/>
  <c r="M14" i="2"/>
  <c r="B14" i="2" s="1"/>
  <c r="P14" i="2" s="1"/>
  <c r="L13" i="2"/>
  <c r="K14" i="2" l="1"/>
  <c r="E15" i="2" s="1"/>
  <c r="F15" i="2" s="1"/>
  <c r="I14" i="2"/>
  <c r="J14" i="2" s="1"/>
  <c r="L14" i="2" l="1"/>
  <c r="H15" i="2"/>
  <c r="G15" i="2"/>
  <c r="M15" i="2"/>
  <c r="B15" i="2" s="1"/>
  <c r="P15" i="2" s="1"/>
  <c r="K15" i="2" l="1"/>
  <c r="E16" i="2" s="1"/>
  <c r="F16" i="2" s="1"/>
  <c r="I15" i="2"/>
  <c r="J15" i="2" s="1"/>
  <c r="L15" i="2" s="1"/>
  <c r="H16" i="2" l="1"/>
  <c r="G16" i="2"/>
  <c r="M16" i="2"/>
  <c r="B16" i="2" s="1"/>
  <c r="P16" i="2" s="1"/>
  <c r="I16" i="2" l="1"/>
  <c r="J16" i="2" s="1"/>
  <c r="K16" i="2"/>
  <c r="E17" i="2" s="1"/>
  <c r="F17" i="2" s="1"/>
  <c r="H17" i="2" l="1"/>
  <c r="G17" i="2"/>
  <c r="M17" i="2"/>
  <c r="B17" i="2" s="1"/>
  <c r="P17" i="2" s="1"/>
  <c r="L16" i="2"/>
  <c r="K17" i="2" l="1"/>
  <c r="E18" i="2" s="1"/>
  <c r="F18" i="2" s="1"/>
  <c r="I17" i="2"/>
  <c r="J17" i="2" s="1"/>
  <c r="L17" i="2" s="1"/>
  <c r="H18" i="2" l="1"/>
  <c r="G18" i="2"/>
  <c r="M18" i="2"/>
  <c r="B18" i="2" s="1"/>
  <c r="P18" i="2" s="1"/>
  <c r="K18" i="2" l="1"/>
  <c r="E19" i="2" s="1"/>
  <c r="F19" i="2" s="1"/>
  <c r="I18" i="2"/>
  <c r="J18" i="2" s="1"/>
  <c r="L18" i="2" s="1"/>
  <c r="H19" i="2" l="1"/>
  <c r="G19" i="2"/>
  <c r="M19" i="2"/>
  <c r="B19" i="2" s="1"/>
  <c r="P19" i="2" s="1"/>
  <c r="I19" i="2" l="1"/>
  <c r="J19" i="2" s="1"/>
  <c r="K19" i="2"/>
  <c r="E20" i="2" s="1"/>
  <c r="F20" i="2" s="1"/>
  <c r="H20" i="2" l="1"/>
  <c r="G20" i="2"/>
  <c r="M20" i="2"/>
  <c r="B20" i="2" s="1"/>
  <c r="P20" i="2" s="1"/>
  <c r="L19" i="2"/>
  <c r="K20" i="2" l="1"/>
  <c r="E21" i="2" s="1"/>
  <c r="F21" i="2" s="1"/>
  <c r="I20" i="2"/>
  <c r="J20" i="2" s="1"/>
  <c r="L20" i="2" l="1"/>
  <c r="H21" i="2"/>
  <c r="G21" i="2"/>
  <c r="M21" i="2"/>
  <c r="B21" i="2" s="1"/>
  <c r="P21" i="2" s="1"/>
  <c r="K21" i="2" l="1"/>
  <c r="I21" i="2"/>
  <c r="J21" i="2" s="1"/>
  <c r="D368" i="3"/>
  <c r="L21" i="2" l="1"/>
</calcChain>
</file>

<file path=xl/sharedStrings.xml><?xml version="1.0" encoding="utf-8"?>
<sst xmlns="http://schemas.openxmlformats.org/spreadsheetml/2006/main" count="105" uniqueCount="79">
  <si>
    <t>Parameter</t>
  </si>
  <si>
    <t>Value</t>
  </si>
  <si>
    <t>Fair Value</t>
  </si>
  <si>
    <t>Half Spread</t>
  </si>
  <si>
    <t>Inventory Sensitivity k</t>
  </si>
  <si>
    <t>Starting Cash</t>
  </si>
  <si>
    <t>Starting Inventory</t>
  </si>
  <si>
    <t>Trade</t>
  </si>
  <si>
    <t>Order</t>
  </si>
  <si>
    <t>Price Move</t>
  </si>
  <si>
    <t>Inventory Before</t>
  </si>
  <si>
    <t>Quote Centre</t>
  </si>
  <si>
    <t>Bid</t>
  </si>
  <si>
    <t>Ask</t>
  </si>
  <si>
    <t>Execution Price</t>
  </si>
  <si>
    <t>Cash After</t>
  </si>
  <si>
    <t>Inventory After</t>
  </si>
  <si>
    <t>PnL</t>
  </si>
  <si>
    <t>Customer Sensitivity a</t>
  </si>
  <si>
    <t>Buy Probability</t>
  </si>
  <si>
    <t>Strategy</t>
  </si>
  <si>
    <t>k</t>
  </si>
  <si>
    <t>Final PnL</t>
  </si>
  <si>
    <t>Max Abs Inventory</t>
  </si>
  <si>
    <t>Final Abs Inventory</t>
  </si>
  <si>
    <t>Inventory-Aware</t>
  </si>
  <si>
    <t>Baseline</t>
  </si>
  <si>
    <t>Day 10: one 20-trade run per strategy, captured as fixed values.</t>
  </si>
  <si>
    <t>Both runs use the same realized price moves and random draws.</t>
  </si>
  <si>
    <t>Trades remains live; recalculation does not change the results above.</t>
  </si>
  <si>
    <t>One run per strategy is insufficient to establish which is better.</t>
  </si>
  <si>
    <t>Controlled Comparison — Same Random Draws</t>
  </si>
  <si>
    <t>Day 11: one controlled 20-trade scenario; results captured as fixed values.</t>
  </si>
  <si>
    <t>Frozen inputs: Trades!N2:N21 (orders) and O3:O21 (prices). Only k differs.</t>
  </si>
  <si>
    <t>Orders, probabilities, quotes, inventory and PnL remain formulas.</t>
  </si>
  <si>
    <t>One controlled scenario does not establish general superiority.</t>
  </si>
  <si>
    <t>Order Random Draw</t>
  </si>
  <si>
    <t>Price Random Draw</t>
  </si>
  <si>
    <t>Repeated Controlled Trials</t>
  </si>
  <si>
    <t>10 scenarios, 20 trades per strategy. IA = Inventory-Aware (k = 0.25); Baseline k = 0.</t>
  </si>
  <si>
    <t>Trial</t>
  </si>
  <si>
    <t>IA Final PnL</t>
  </si>
  <si>
    <t>IA Max Abs Inventory</t>
  </si>
  <si>
    <t>IA Final Abs Inventory</t>
  </si>
  <si>
    <t>Baseline Final PnL</t>
  </si>
  <si>
    <t>Baseline Max Abs Inventory</t>
  </si>
  <si>
    <t>Baseline Final Abs Inventory</t>
  </si>
  <si>
    <t>AVERAGE</t>
  </si>
  <si>
    <t>WORST</t>
  </si>
  <si>
    <t>Average PnL Difference (IA - Baseline)</t>
  </si>
  <si>
    <t>Average Max Inventory Difference (IA - Baseline)</t>
  </si>
  <si>
    <t>Trial 1 reuses Day 11. Trials 2–10 use nine fresh, independently generated scenarios.</t>
  </si>
  <si>
    <t>All trial results are fixed values. Trades is left on Trial 10 with k = 0.25.</t>
  </si>
  <si>
    <t>WORST reports the lowest PnL observed in these ten trials, not a theoretical worst case.</t>
  </si>
  <si>
    <t>Frozen inputs for every trial are retained below so each comparison can be reproduced.</t>
  </si>
  <si>
    <t>Frozen Scenario Inputs</t>
  </si>
  <si>
    <t>To replay: copy a trial’s order draws to Trades!N2:N21 and price draws for trades 2–20 to O3:O21.</t>
  </si>
  <si>
    <t>Inventory Sensitivity Experiment</t>
  </si>
  <si>
    <t>Day 13: 20 trades per run using the frozen Day 12 Trial 10 scenario. Only k changes.</t>
  </si>
  <si>
    <t>Fixed results. Frozen scenario archived at A230:D249. Active k restored to 0.25.</t>
  </si>
  <si>
    <t>Volatility Experiment</t>
  </si>
  <si>
    <t>Day 14: same frozen Day 12 Trial 10 draws, 20 trades per run, k = 0.25 throughout.</t>
  </si>
  <si>
    <t>Price Move Size</t>
  </si>
  <si>
    <t>Fixed results. Draws archived at A230:D249. Price Move Size restored to 1.</t>
  </si>
  <si>
    <t>Inventory Limit Experiment</t>
  </si>
  <si>
    <t>Day 15: frozen Day 12 Trial 10 draws, 20 order opportunities, k = 0.25, Price Move Size = 1.</t>
  </si>
  <si>
    <t>Inventory Limit</t>
  </si>
  <si>
    <t>Rejected Trades</t>
  </si>
  <si>
    <t>All comparison results are fixed values. Active Inventory Limit restored to 5.</t>
  </si>
  <si>
    <t>Rejected Trades (active run)</t>
  </si>
  <si>
    <t>Trade Status</t>
  </si>
  <si>
    <t>Spread Sensitivity Experiment</t>
  </si>
  <si>
    <t>Day 16: frozen Day 12 Trial 10 draws; k = 0.25; Price Move Size = 1; Inventory Limit = 5.</t>
  </si>
  <si>
    <t>Half Spread h</t>
  </si>
  <si>
    <t>Full Spread</t>
  </si>
  <si>
    <t>Outcomes fixed; full spread = 2h. Customer model unchanged. Active half-spread restored to 1.</t>
  </si>
  <si>
    <t>Spread Sensitivity b</t>
  </si>
  <si>
    <t>Trade Probability</t>
  </si>
  <si>
    <t>Trade Random Draw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</si>
</sst>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£&quot;* #,##0.00_);_(&quot;£&quot;* \(#,##0.00\);_(&quot;£&quot;* &quot;-&quot;??_);_(@_)"/>
    <numFmt numFmtId="43" formatCode="_(* #,##0.00_);_(* \(#,##0.00\);_(* &quot;-&quot;??_);_(@_)"/>
    <numFmt numFmtId="164" formatCode="0.000000"/>
    <numFmt numFmtId="165" formatCode="0.0"/>
    <numFmt numFmtId="166" formatCode="0.0%"/>
  </numFmts>
  <fonts count="41" x14ac:knownFonts="1">
    <font>
      <sz val="12"/>
      <color theme="1"/>
      <name val="Aptos Narrow"/>
    </font>
    <font>
      <b/>
      <sz val="12"/>
      <color theme="1"/>
      <name val="Aptos Narrow"/>
    </font>
    <font>
      <sz val="12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</font>
    <font>
      <i/>
      <sz val="11"/>
      <color rgb="FF555555"/>
      <name val="Aptos Narrow"/>
    </font>
    <font>
      <sz val="12"/>
      <color theme="1"/>
      <name val="Aptos Narrow"/>
    </font>
    <font>
      <b/>
      <sz val="12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</font>
    <font>
      <i/>
      <sz val="11"/>
      <color rgb="FF555555"/>
      <name val="Aptos Narrow"/>
    </font>
    <font>
      <b/>
      <sz val="12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</font>
    <font>
      <i/>
      <sz val="11"/>
      <color rgb="FF555555"/>
      <name val="Aptos Narrow"/>
    </font>
    <font>
      <b/>
      <sz val="12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</font>
    <font>
      <i/>
      <sz val="11"/>
      <color theme="1"/>
      <name val="Aptos Narrow"/>
    </font>
    <font>
      <b/>
      <sz val="15"/>
      <color theme="3"/>
      <name val="Calibri"/>
      <family val="2"/>
      <scheme val="minor"/>
    </font>
    <font>
      <sz val="12"/>
      <color theme="1"/>
      <name val="Aptos Narrow"/>
    </font>
    <font>
      <b/>
      <sz val="12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</font>
    <font>
      <i/>
      <sz val="11"/>
      <color theme="1"/>
      <name val="Aptos Narrow"/>
    </font>
    <font>
      <b/>
      <sz val="11"/>
      <color theme="3"/>
      <name val="Calibri"/>
      <family val="2"/>
      <scheme val="minor"/>
    </font>
    <font>
      <sz val="12"/>
      <color theme="1"/>
      <name val="Aptos Narrow"/>
    </font>
    <font>
      <b/>
      <sz val="12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</font>
    <font>
      <i/>
      <sz val="11"/>
      <color theme="1"/>
      <name val="Aptos Narrow"/>
    </font>
    <font>
      <sz val="12"/>
      <color rgb="FF006100"/>
      <name val="Calibri"/>
      <family val="2"/>
      <scheme val="minor"/>
    </font>
    <font>
      <b/>
      <sz val="12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</font>
    <font>
      <i/>
      <sz val="11"/>
      <color theme="1"/>
      <name val="Aptos Narrow"/>
    </font>
    <font>
      <sz val="12"/>
      <color rgb="FF9C5700"/>
      <name val="Calibri"/>
      <family val="2"/>
      <scheme val="minor"/>
    </font>
    <font>
      <sz val="12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</font>
    <font>
      <b/>
      <sz val="12"/>
      <color rgb="FF3F3F3F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C6EFCE"/>
      </patternFill>
    </fill>
    <fill>
      <patternFill patternType="none"/>
    </fill>
    <fill>
      <patternFill patternType="solid">
        <fgColor rgb="FFFFEB9C"/>
      </patternFill>
    </fill>
    <fill>
      <patternFill patternType="none"/>
    </fill>
    <fill>
      <patternFill patternType="solid">
        <fgColor rgb="FFF2F2F2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9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9" fillId="0" borderId="5" applyNumberFormat="0" applyFill="0" applyAlignment="0" applyProtection="0"/>
    <xf numFmtId="0" fontId="25" fillId="0" borderId="7" applyNumberFormat="0" applyFill="0" applyAlignment="0" applyProtection="0"/>
    <xf numFmtId="0" fontId="31" fillId="8" borderId="0" applyNumberFormat="0" applyBorder="0" applyAlignment="0" applyProtection="0"/>
    <xf numFmtId="0" fontId="36" fillId="10" borderId="0" applyNumberFormat="0" applyBorder="0" applyAlignment="0" applyProtection="0"/>
    <xf numFmtId="0" fontId="40" fillId="12" borderId="11" applyNumberFormat="0" applyAlignment="0" applyProtection="0"/>
  </cellStyleXfs>
  <cellXfs count="63">
    <xf numFmtId="0" fontId="0" fillId="0" borderId="0" xfId="0"/>
    <xf numFmtId="0" fontId="1" fillId="0" borderId="0" xfId="0" applyFont="1"/>
    <xf numFmtId="2" fontId="0" fillId="0" borderId="0" xfId="0" applyNumberFormat="1"/>
    <xf numFmtId="1" fontId="0" fillId="0" borderId="0" xfId="0" applyNumberFormat="1"/>
    <xf numFmtId="10" fontId="0" fillId="0" borderId="0" xfId="0" applyNumberFormat="1"/>
    <xf numFmtId="0" fontId="3" fillId="2" borderId="1" xfId="1" applyNumberFormat="1" applyFont="1" applyFill="1" applyBorder="1"/>
    <xf numFmtId="0" fontId="4" fillId="2" borderId="1" xfId="1" applyNumberFormat="1" applyFont="1" applyFill="1" applyBorder="1"/>
    <xf numFmtId="2" fontId="3" fillId="2" borderId="1" xfId="1" applyNumberFormat="1" applyFont="1" applyFill="1" applyBorder="1"/>
    <xf numFmtId="1" fontId="3" fillId="2" borderId="1" xfId="1" applyNumberFormat="1" applyFont="1" applyFill="1" applyBorder="1"/>
    <xf numFmtId="0" fontId="5" fillId="2" borderId="1" xfId="1" applyNumberFormat="1" applyFont="1" applyFill="1" applyBorder="1"/>
    <xf numFmtId="0" fontId="7" fillId="3" borderId="2" xfId="2" applyNumberFormat="1" applyFont="1" applyFill="1" applyBorder="1"/>
    <xf numFmtId="2" fontId="6" fillId="3" borderId="2" xfId="2" applyNumberFormat="1" applyFont="1" applyFill="1" applyBorder="1"/>
    <xf numFmtId="0" fontId="8" fillId="3" borderId="2" xfId="2" applyNumberFormat="1" applyFont="1" applyFill="1" applyBorder="1"/>
    <xf numFmtId="0" fontId="9" fillId="3" borderId="2" xfId="2" applyNumberFormat="1" applyFont="1" applyFill="1" applyBorder="1"/>
    <xf numFmtId="2" fontId="8" fillId="3" borderId="2" xfId="2" applyNumberFormat="1" applyFont="1" applyFill="1" applyBorder="1"/>
    <xf numFmtId="1" fontId="8" fillId="3" borderId="2" xfId="2" applyNumberFormat="1" applyFont="1" applyFill="1" applyBorder="1"/>
    <xf numFmtId="0" fontId="10" fillId="3" borderId="2" xfId="2" applyNumberFormat="1" applyFont="1" applyFill="1" applyBorder="1"/>
    <xf numFmtId="164" fontId="6" fillId="3" borderId="2" xfId="2" applyNumberFormat="1" applyFont="1" applyFill="1" applyBorder="1"/>
    <xf numFmtId="0" fontId="11" fillId="4" borderId="3" xfId="3" applyNumberFormat="1" applyFont="1" applyFill="1" applyBorder="1"/>
    <xf numFmtId="0" fontId="12" fillId="4" borderId="3" xfId="3" applyNumberFormat="1" applyFont="1" applyFill="1" applyBorder="1"/>
    <xf numFmtId="0" fontId="13" fillId="4" borderId="3" xfId="3" applyNumberFormat="1" applyFont="1" applyFill="1" applyBorder="1"/>
    <xf numFmtId="0" fontId="13" fillId="4" borderId="3" xfId="3" applyNumberFormat="1" applyFont="1" applyFill="1" applyBorder="1" applyAlignment="1">
      <alignment wrapText="1"/>
    </xf>
    <xf numFmtId="0" fontId="13" fillId="4" borderId="3" xfId="3" applyNumberFormat="1" applyFont="1" applyFill="1" applyBorder="1" applyAlignment="1">
      <alignment vertical="center" wrapText="1"/>
    </xf>
    <xf numFmtId="2" fontId="12" fillId="4" borderId="3" xfId="3" applyNumberFormat="1" applyFont="1" applyFill="1" applyBorder="1"/>
    <xf numFmtId="1" fontId="12" fillId="4" borderId="3" xfId="3" applyNumberFormat="1" applyFont="1" applyFill="1" applyBorder="1"/>
    <xf numFmtId="2" fontId="13" fillId="4" borderId="3" xfId="3" applyNumberFormat="1" applyFont="1" applyFill="1" applyBorder="1"/>
    <xf numFmtId="0" fontId="14" fillId="4" borderId="3" xfId="3" applyNumberFormat="1" applyFont="1" applyFill="1" applyBorder="1"/>
    <xf numFmtId="164" fontId="12" fillId="4" borderId="3" xfId="3" applyNumberFormat="1" applyFont="1" applyFill="1" applyBorder="1"/>
    <xf numFmtId="0" fontId="15" fillId="5" borderId="4" xfId="4" applyFont="1" applyFill="1" applyBorder="1"/>
    <xf numFmtId="0" fontId="16" fillId="5" borderId="4" xfId="4" applyFont="1" applyFill="1" applyBorder="1"/>
    <xf numFmtId="0" fontId="18" fillId="5" borderId="4" xfId="4" applyFont="1" applyFill="1" applyBorder="1"/>
    <xf numFmtId="0" fontId="17" fillId="5" borderId="4" xfId="4" applyFont="1" applyFill="1" applyBorder="1" applyAlignment="1">
      <alignment wrapText="1"/>
    </xf>
    <xf numFmtId="2" fontId="16" fillId="5" borderId="4" xfId="4" applyNumberFormat="1" applyFont="1" applyFill="1" applyBorder="1"/>
    <xf numFmtId="1" fontId="16" fillId="5" borderId="4" xfId="4" applyNumberFormat="1" applyFont="1" applyFill="1" applyBorder="1"/>
    <xf numFmtId="0" fontId="20" fillId="6" borderId="6" xfId="5" applyFont="1" applyFill="1" applyBorder="1"/>
    <xf numFmtId="0" fontId="21" fillId="6" borderId="6" xfId="5" applyFont="1" applyFill="1" applyBorder="1"/>
    <xf numFmtId="2" fontId="20" fillId="6" borderId="6" xfId="5" applyNumberFormat="1" applyFont="1" applyFill="1" applyBorder="1"/>
    <xf numFmtId="0" fontId="22" fillId="6" borderId="6" xfId="5" applyFont="1" applyFill="1" applyBorder="1"/>
    <xf numFmtId="0" fontId="24" fillId="6" borderId="6" xfId="5" applyFont="1" applyFill="1" applyBorder="1"/>
    <xf numFmtId="0" fontId="23" fillId="6" borderId="6" xfId="5" applyFont="1" applyFill="1" applyBorder="1" applyAlignment="1">
      <alignment wrapText="1"/>
    </xf>
    <xf numFmtId="2" fontId="22" fillId="6" borderId="6" xfId="5" applyNumberFormat="1" applyFont="1" applyFill="1" applyBorder="1"/>
    <xf numFmtId="1" fontId="22" fillId="6" borderId="6" xfId="5" applyNumberFormat="1" applyFont="1" applyFill="1" applyBorder="1"/>
    <xf numFmtId="0" fontId="26" fillId="7" borderId="8" xfId="6" applyFont="1" applyFill="1" applyBorder="1"/>
    <xf numFmtId="0" fontId="27" fillId="7" borderId="8" xfId="6" applyFont="1" applyFill="1" applyBorder="1"/>
    <xf numFmtId="1" fontId="26" fillId="7" borderId="8" xfId="6" applyNumberFormat="1" applyFont="1" applyFill="1" applyBorder="1"/>
    <xf numFmtId="0" fontId="28" fillId="7" borderId="8" xfId="6" applyFont="1" applyFill="1" applyBorder="1"/>
    <xf numFmtId="0" fontId="29" fillId="7" borderId="8" xfId="6" applyFont="1" applyFill="1" applyBorder="1"/>
    <xf numFmtId="0" fontId="30" fillId="7" borderId="8" xfId="6" applyFont="1" applyFill="1" applyBorder="1"/>
    <xf numFmtId="0" fontId="29" fillId="7" borderId="8" xfId="6" applyFont="1" applyFill="1" applyBorder="1" applyAlignment="1">
      <alignment wrapText="1"/>
    </xf>
    <xf numFmtId="1" fontId="28" fillId="7" borderId="8" xfId="6" applyNumberFormat="1" applyFont="1" applyFill="1" applyBorder="1"/>
    <xf numFmtId="2" fontId="28" fillId="7" borderId="8" xfId="6" applyNumberFormat="1" applyFont="1" applyFill="1" applyBorder="1"/>
    <xf numFmtId="0" fontId="32" fillId="9" borderId="9" xfId="7" applyFont="1" applyFill="1" applyBorder="1"/>
    <xf numFmtId="0" fontId="33" fillId="9" borderId="9" xfId="7" applyFont="1" applyFill="1" applyBorder="1"/>
    <xf numFmtId="0" fontId="35" fillId="9" borderId="9" xfId="7" applyFont="1" applyFill="1" applyBorder="1"/>
    <xf numFmtId="0" fontId="34" fillId="9" borderId="9" xfId="7" applyFont="1" applyFill="1" applyBorder="1" applyAlignment="1">
      <alignment wrapText="1"/>
    </xf>
    <xf numFmtId="165" fontId="33" fillId="9" borderId="9" xfId="7" applyNumberFormat="1" applyFont="1" applyFill="1" applyBorder="1"/>
    <xf numFmtId="2" fontId="33" fillId="9" borderId="9" xfId="7" applyNumberFormat="1" applyFont="1" applyFill="1" applyBorder="1"/>
    <xf numFmtId="1" fontId="33" fillId="9" borderId="9" xfId="7" applyNumberFormat="1" applyFont="1" applyFill="1" applyBorder="1"/>
    <xf numFmtId="0" fontId="37" fillId="11" borderId="10" xfId="8"/>
    <xf numFmtId="2" fontId="37" fillId="11" borderId="10" xfId="8" applyNumberFormat="1"/>
    <xf numFmtId="0" fontId="39" fillId="11" borderId="10" xfId="8" applyFont="1"/>
    <xf numFmtId="166" fontId="38" fillId="11" borderId="10" xfId="8" applyNumberFormat="1" applyFont="1"/>
    <xf numFmtId="164" fontId="38" fillId="11" borderId="10" xfId="8" applyNumberFormat="1" applyFont="1"/>
  </cellXfs>
  <cellStyles count="9">
    <cellStyle name="Comma" xfId="1" builtinId="3"/>
    <cellStyle name="Currency" xfId="2" builtinId="4"/>
    <cellStyle name="Good" xfId="6" builtinId="26"/>
    <cellStyle name="Heading 1" xfId="4" builtinId="16"/>
    <cellStyle name="Heading 3" xfId="5" builtinId="18"/>
    <cellStyle name="Neutral" xfId="7" builtinId="28"/>
    <cellStyle name="Normal" xfId="0" builtinId="0"/>
    <cellStyle name="Output" xfId="8" builtinId="21"/>
    <cellStyle name="Per 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 sz="1050">
                <a:latin typeface="Arial"/>
                <a:ea typeface="Arial"/>
                <a:cs typeface="Arial"/>
              </a:rPr>
              <a:t>Maximum Inventory Exposure vs Inventory Sensitivity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Max Abs Inventory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365A7C"/>
              </a:solidFill>
              <a:ln>
                <a:noFill/>
              </a:ln>
            </c:spPr>
          </c:marker>
          <c:xVal>
            <c:numRef>
              <c:f>Experiments!$A$256:$A$260</c:f>
              <c:numCache>
                <c:formatCode>0.00</c:formatCode>
                <c:ptCount val="5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</c:numCache>
            </c:numRef>
          </c:xVal>
          <c:yVal>
            <c:numRef>
              <c:f>Experiments!$C$256:$C$260</c:f>
              <c:numCache>
                <c:formatCode>0</c:formatCode>
                <c:ptCount val="5"/>
                <c:pt idx="0">
                  <c:v>10</c:v>
                </c:pt>
                <c:pt idx="1">
                  <c:v>8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D8-F546-A0C6-C090FF1CF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Maximum Absolute Inventory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Inventory Sensitivity k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 sz="1050">
                <a:latin typeface="Arial"/>
                <a:ea typeface="Arial"/>
                <a:cs typeface="Arial"/>
              </a:rPr>
              <a:t>Final PnL vs Inventory Sensitivity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Final PnL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365A7C"/>
              </a:solidFill>
              <a:ln>
                <a:noFill/>
              </a:ln>
            </c:spPr>
          </c:marker>
          <c:xVal>
            <c:numRef>
              <c:f>Experiments!$A$256:$A$260</c:f>
              <c:numCache>
                <c:formatCode>0.00</c:formatCode>
                <c:ptCount val="5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</c:numCache>
            </c:numRef>
          </c:xVal>
          <c:yVal>
            <c:numRef>
              <c:f>Experiments!$B$256:$B$260</c:f>
              <c:numCache>
                <c:formatCode>0.00</c:formatCode>
                <c:ptCount val="5"/>
                <c:pt idx="0">
                  <c:v>22</c:v>
                </c:pt>
                <c:pt idx="1">
                  <c:v>24.200000000000159</c:v>
                </c:pt>
                <c:pt idx="2">
                  <c:v>19.5</c:v>
                </c:pt>
                <c:pt idx="3">
                  <c:v>16</c:v>
                </c:pt>
                <c:pt idx="4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DB-C24D-B3BF-7F0F5B81D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Final PnL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Inventory Sensitivity k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 sz="1050">
                <a:latin typeface="Arial"/>
                <a:ea typeface="Arial"/>
                <a:cs typeface="Arial"/>
              </a:rPr>
              <a:t>Final PnL vs Price Move Size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Final PnL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365A7C"/>
              </a:solidFill>
              <a:ln>
                <a:noFill/>
              </a:ln>
            </c:spPr>
          </c:marker>
          <c:xVal>
            <c:numRef>
              <c:f>Experiments!$A$309:$A$312</c:f>
              <c:numCache>
                <c:formatCode>0.00</c:formatCode>
                <c:ptCount val="4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xVal>
          <c:yVal>
            <c:numRef>
              <c:f>Experiments!$B$309:$B$312</c:f>
              <c:numCache>
                <c:formatCode>0.00</c:formatCode>
                <c:ptCount val="4"/>
                <c:pt idx="0">
                  <c:v>19.5</c:v>
                </c:pt>
                <c:pt idx="1">
                  <c:v>19.5</c:v>
                </c:pt>
                <c:pt idx="2">
                  <c:v>19.5</c:v>
                </c:pt>
                <c:pt idx="3">
                  <c:v>19.5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31-2647-8A82-497390CD7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25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Final PnL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midCat"/>
        <c:majorUnit val="5"/>
      </c:valAx>
      <c:valAx>
        <c:axId val="48650112"/>
        <c:scaling>
          <c:orientation val="minMax"/>
          <c:max val="3.5"/>
          <c:min val="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Price Move Size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crossBetween val="midCat"/>
        <c:majorUnit val="0.5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 sz="1050">
                <a:latin typeface="Arial"/>
                <a:ea typeface="Arial"/>
                <a:cs typeface="Arial"/>
              </a:rPr>
              <a:t>Maximum Inventory vs Price Move Size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Max Abs Inventory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365A7C"/>
              </a:solidFill>
              <a:ln>
                <a:noFill/>
              </a:ln>
            </c:spPr>
          </c:marker>
          <c:xVal>
            <c:numRef>
              <c:f>Experiments!$A$309:$A$312</c:f>
              <c:numCache>
                <c:formatCode>0.00</c:formatCode>
                <c:ptCount val="4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xVal>
          <c:yVal>
            <c:numRef>
              <c:f>Experiments!$C$309:$C$312</c:f>
              <c:numCache>
                <c:formatCode>0</c:formatCode>
                <c:ptCount val="4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49-3943-9025-39A75DB3E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5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Max Abs Inventory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midCat"/>
        <c:majorUnit val="1"/>
      </c:valAx>
      <c:valAx>
        <c:axId val="48650112"/>
        <c:scaling>
          <c:orientation val="minMax"/>
          <c:max val="3.5"/>
          <c:min val="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Price Move Size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crossBetween val="midCat"/>
        <c:majorUnit val="0.5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 sz="1050">
                <a:latin typeface="Arial"/>
                <a:ea typeface="Arial"/>
                <a:cs typeface="Arial"/>
              </a:rPr>
              <a:t>Final PnL vs Half Spread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Final PnL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365A7C"/>
              </a:solidFill>
              <a:ln>
                <a:noFill/>
              </a:ln>
            </c:spPr>
          </c:marker>
          <c:xVal>
            <c:numRef>
              <c:f>Experiments!$A$375:$A$378</c:f>
              <c:numCache>
                <c:formatCode>0.0</c:formatCode>
                <c:ptCount val="4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</c:numCache>
            </c:numRef>
          </c:xVal>
          <c:yVal>
            <c:numRef>
              <c:f>Experiments!$C$375:$C$378</c:f>
              <c:numCache>
                <c:formatCode>0.00</c:formatCode>
                <c:ptCount val="4"/>
                <c:pt idx="0">
                  <c:v>9.5</c:v>
                </c:pt>
                <c:pt idx="1">
                  <c:v>19.5</c:v>
                </c:pt>
                <c:pt idx="2">
                  <c:v>29.5</c:v>
                </c:pt>
                <c:pt idx="3">
                  <c:v>39.5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D0-2C4C-9EA1-2FD6E0040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45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Final PnL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midCat"/>
        <c:majorUnit val="5"/>
      </c:valAx>
      <c:valAx>
        <c:axId val="48650112"/>
        <c:scaling>
          <c:orientation val="minMax"/>
          <c:max val="2.5"/>
          <c:min val="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Half Spread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crossBetween val="midCat"/>
        <c:majorUnit val="0.5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262</xdr:row>
      <xdr:rowOff>0</xdr:rowOff>
    </xdr:from>
    <xdr:to>
      <xdr:col>7</xdr:col>
      <xdr:colOff>0</xdr:colOff>
      <xdr:row>281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283</xdr:row>
      <xdr:rowOff>0</xdr:rowOff>
    </xdr:from>
    <xdr:to>
      <xdr:col>7</xdr:col>
      <xdr:colOff>0</xdr:colOff>
      <xdr:row>302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314</xdr:row>
      <xdr:rowOff>0</xdr:rowOff>
    </xdr:from>
    <xdr:to>
      <xdr:col>7</xdr:col>
      <xdr:colOff>0</xdr:colOff>
      <xdr:row>333</xdr:row>
      <xdr:rowOff>0</xdr:rowOff>
    </xdr:to>
    <xdr:graphicFrame macro="">
      <xdr:nvGraphicFramePr>
        <xdr:cNvPr id="141" name="Day 14 Chart 1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335</xdr:row>
      <xdr:rowOff>0</xdr:rowOff>
    </xdr:from>
    <xdr:to>
      <xdr:col>7</xdr:col>
      <xdr:colOff>0</xdr:colOff>
      <xdr:row>354</xdr:row>
      <xdr:rowOff>0</xdr:rowOff>
    </xdr:to>
    <xdr:graphicFrame macro="">
      <xdr:nvGraphicFramePr>
        <xdr:cNvPr id="142" name="Day 14 Chart 2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381</xdr:row>
      <xdr:rowOff>0</xdr:rowOff>
    </xdr:from>
    <xdr:to>
      <xdr:col>7</xdr:col>
      <xdr:colOff>0</xdr:colOff>
      <xdr:row>400</xdr:row>
      <xdr:rowOff>0</xdr:rowOff>
    </xdr:to>
    <xdr:graphicFrame macro="">
      <xdr:nvGraphicFramePr>
        <xdr:cNvPr id="161" name="Day 16 Chart 1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B4" sqref="B4"/>
    </sheetView>
  </sheetViews>
  <sheetFormatPr baseColWidth="10" defaultRowHeight="16" x14ac:dyDescent="0.2"/>
  <cols>
    <col min="1" max="1" width="16.5" customWidth="1"/>
    <col min="2" max="2" width="4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100</v>
      </c>
    </row>
    <row r="3" spans="1:2" x14ac:dyDescent="0.2">
      <c r="A3" t="s">
        <v>3</v>
      </c>
      <c r="B3">
        <v>1</v>
      </c>
    </row>
    <row r="4" spans="1:2" x14ac:dyDescent="0.2">
      <c r="A4" t="s">
        <v>4</v>
      </c>
      <c r="B4">
        <v>0.25</v>
      </c>
    </row>
    <row r="5" spans="1:2" x14ac:dyDescent="0.2">
      <c r="A5" t="s">
        <v>5</v>
      </c>
      <c r="B5">
        <v>0</v>
      </c>
    </row>
    <row r="6" spans="1:2" x14ac:dyDescent="0.2">
      <c r="A6" t="s">
        <v>6</v>
      </c>
      <c r="B6">
        <v>0</v>
      </c>
    </row>
    <row r="7" spans="1:2" x14ac:dyDescent="0.2">
      <c r="A7" t="s">
        <v>18</v>
      </c>
      <c r="B7">
        <v>0.2</v>
      </c>
    </row>
    <row r="8" spans="1:2" x14ac:dyDescent="0.2">
      <c r="A8" s="34" t="s">
        <v>62</v>
      </c>
      <c r="B8" s="36">
        <v>1</v>
      </c>
    </row>
    <row r="9" spans="1:2" x14ac:dyDescent="0.2">
      <c r="A9" s="42" t="s">
        <v>66</v>
      </c>
      <c r="B9" s="44">
        <v>5</v>
      </c>
    </row>
    <row r="10" spans="1:2" x14ac:dyDescent="0.2">
      <c r="A10" s="58" t="s">
        <v>76</v>
      </c>
      <c r="B10" s="59">
        <v>0.25</v>
      </c>
    </row>
  </sheetData>
  <dataValidations count="1">
    <dataValidation type="whole" operator="greaterThanOrEqual" sqref="B9" xr:uid="{00000000-0002-0000-0000-000000000000}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2"/>
  <sheetViews>
    <sheetView tabSelected="1" topLeftCell="I1" zoomScale="150" workbookViewId="0">
      <selection activeCell="R1" sqref="R1"/>
    </sheetView>
  </sheetViews>
  <sheetFormatPr baseColWidth="10" defaultRowHeight="16" x14ac:dyDescent="0.2"/>
  <cols>
    <col min="1" max="1" width="5.6640625" bestFit="1" customWidth="1"/>
    <col min="2" max="2" width="5.83203125" bestFit="1" customWidth="1"/>
    <col min="3" max="3" width="9.33203125" bestFit="1" customWidth="1"/>
    <col min="4" max="4" width="10.1640625" bestFit="1" customWidth="1"/>
    <col min="5" max="5" width="14.5" bestFit="1" customWidth="1"/>
    <col min="6" max="6" width="12.1640625" bestFit="1" customWidth="1"/>
    <col min="7" max="8" width="9" customWidth="1"/>
    <col min="9" max="9" width="13.83203125" bestFit="1" customWidth="1"/>
    <col min="10" max="10" width="10" bestFit="1" customWidth="1"/>
    <col min="11" max="11" width="13.1640625" bestFit="1" customWidth="1"/>
    <col min="12" max="12" width="10" customWidth="1"/>
    <col min="13" max="13" width="13.6640625" bestFit="1" customWidth="1"/>
    <col min="14" max="14" width="20" bestFit="1" customWidth="1"/>
    <col min="15" max="15" width="20" customWidth="1"/>
    <col min="16" max="16" width="16" customWidth="1"/>
    <col min="17" max="18" width="22" customWidth="1"/>
  </cols>
  <sheetData>
    <row r="1" spans="1:18" x14ac:dyDescent="0.2">
      <c r="A1" s="1" t="s">
        <v>7</v>
      </c>
      <c r="B1" s="1" t="s">
        <v>8</v>
      </c>
      <c r="C1" s="1" t="s">
        <v>2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19</v>
      </c>
      <c r="N1" s="10" t="s">
        <v>36</v>
      </c>
      <c r="O1" s="10" t="s">
        <v>37</v>
      </c>
      <c r="P1" s="46" t="s">
        <v>70</v>
      </c>
      <c r="Q1" s="60" t="s">
        <v>77</v>
      </c>
      <c r="R1" s="60" t="s">
        <v>78</v>
      </c>
    </row>
    <row r="2" spans="1:18" x14ac:dyDescent="0.2">
      <c r="A2" s="3">
        <v>1</v>
      </c>
      <c r="B2" t="str">
        <f>IF(N2&lt;M2,"BUY","SELL")</f>
        <v>SELL</v>
      </c>
      <c r="C2" s="2">
        <f>Parameters!$B$2</f>
        <v>100</v>
      </c>
      <c r="D2" s="11">
        <f>0</f>
        <v>0</v>
      </c>
      <c r="E2" s="3">
        <f>Parameters!$B$6</f>
        <v>0</v>
      </c>
      <c r="F2" s="2">
        <f>C2-Parameters!$B$4*E2</f>
        <v>100</v>
      </c>
      <c r="G2" s="2">
        <f>F2-Parameters!$B$3</f>
        <v>99</v>
      </c>
      <c r="H2" s="2">
        <f>F2+Parameters!$B$3</f>
        <v>101</v>
      </c>
      <c r="I2" s="2" t="str">
        <f t="shared" ref="I2:I21" ca="1" si="0">IF(P2&lt;&gt;"EXECUTED","",IF(B2="SELL",G2,H2))</f>
        <v/>
      </c>
      <c r="J2" s="2">
        <f ca="1">IF(P2&lt;&gt;"EXECUTED",Parameters!$B$5,IF(B2="SELL",Parameters!$B$5-I2,Parameters!$B$5+I2))</f>
        <v>0</v>
      </c>
      <c r="K2" s="3">
        <f t="shared" ref="K2:K21" ca="1" si="1">IF(P2&lt;&gt;"EXECUTED",E2,IF(B2="SELL",E2+1,E2-1))</f>
        <v>0</v>
      </c>
      <c r="L2" s="2">
        <f t="shared" ref="L2:L21" ca="1" si="2">J2+K2*C2</f>
        <v>0</v>
      </c>
      <c r="M2" s="4">
        <f>MAX(0.05,MIN(0.95,0.5+Parameters!$B$7*(C2-F2)))</f>
        <v>0.5</v>
      </c>
      <c r="N2" s="17">
        <v>0.56817160318504134</v>
      </c>
      <c r="O2" s="17"/>
      <c r="P2" s="45" t="str">
        <f ca="1">IF(R2&gt;Q2,"NO TRADE",IF(OR(AND(B2="SELL",E2&gt;=Parameters!$B$9),AND(B2="BUY",E2&lt;=-Parameters!$B$9)),"REJECTED","EXECUTED"))</f>
        <v>NO TRADE</v>
      </c>
      <c r="Q2" s="61">
        <f>MAX(0.05,MIN(0.95,1-Parameters!$B$10*Parameters!$B$3))</f>
        <v>0.75</v>
      </c>
      <c r="R2" s="62">
        <f t="shared" ref="R2:R21" ca="1" si="3">RAND()</f>
        <v>0.92416331626990844</v>
      </c>
    </row>
    <row r="3" spans="1:18" x14ac:dyDescent="0.2">
      <c r="A3" s="3">
        <f>A2+1</f>
        <v>2</v>
      </c>
      <c r="B3" t="str">
        <f t="shared" ref="B3:B6" ca="1" si="4">IF(N3&lt;M3,"BUY","SELL")</f>
        <v>SELL</v>
      </c>
      <c r="C3" s="2">
        <f t="shared" ref="C3:C21" si="5">C2+D3</f>
        <v>101</v>
      </c>
      <c r="D3" s="11">
        <f>IF(O3&lt;0.5,-Parameters!$B$8,Parameters!$B$8)</f>
        <v>1</v>
      </c>
      <c r="E3" s="3">
        <f t="shared" ref="E3:E21" ca="1" si="6">K2</f>
        <v>0</v>
      </c>
      <c r="F3" s="2">
        <f ca="1">C3-Parameters!$B$4*E3</f>
        <v>101</v>
      </c>
      <c r="G3" s="2">
        <f ca="1">F3-Parameters!$B$3</f>
        <v>100</v>
      </c>
      <c r="H3" s="2">
        <f ca="1">F3+Parameters!$B$3</f>
        <v>102</v>
      </c>
      <c r="I3" s="2">
        <f t="shared" ca="1" si="0"/>
        <v>100</v>
      </c>
      <c r="J3" s="2">
        <f t="shared" ref="J3:J21" ca="1" si="7">IF(P3&lt;&gt;"EXECUTED",J2,IF(B3="SELL",J2-I3,J2+I3))</f>
        <v>-100</v>
      </c>
      <c r="K3" s="3">
        <f t="shared" ca="1" si="1"/>
        <v>1</v>
      </c>
      <c r="L3" s="2">
        <f t="shared" ca="1" si="2"/>
        <v>1</v>
      </c>
      <c r="M3" s="4">
        <f ca="1">MAX(0.05,MIN(0.95,0.5+Parameters!$B$7*(C3-F3)))</f>
        <v>0.5</v>
      </c>
      <c r="N3" s="17">
        <v>0.74168005253905933</v>
      </c>
      <c r="O3" s="17">
        <v>0.88197187111599484</v>
      </c>
      <c r="P3" s="45" t="str">
        <f ca="1">IF(R3&gt;Q3,"NO TRADE",IF(OR(AND(B3="SELL",E3&gt;=Parameters!$B$9),AND(B3="BUY",E3&lt;=-Parameters!$B$9)),"REJECTED","EXECUTED"))</f>
        <v>EXECUTED</v>
      </c>
      <c r="Q3" s="61">
        <f>MAX(0.05,MIN(0.95,1-Parameters!$B$10*Parameters!$B$3))</f>
        <v>0.75</v>
      </c>
      <c r="R3" s="62">
        <f t="shared" ca="1" si="3"/>
        <v>0.24064144998442671</v>
      </c>
    </row>
    <row r="4" spans="1:18" x14ac:dyDescent="0.2">
      <c r="A4" s="3">
        <f t="shared" ref="A4:A22" si="8">A3+1</f>
        <v>3</v>
      </c>
      <c r="B4" t="str">
        <f t="shared" ca="1" si="4"/>
        <v>SELL</v>
      </c>
      <c r="C4" s="2">
        <f t="shared" si="5"/>
        <v>100</v>
      </c>
      <c r="D4" s="11">
        <f>IF(O4&lt;0.5,-Parameters!$B$8,Parameters!$B$8)</f>
        <v>-1</v>
      </c>
      <c r="E4" s="3">
        <f t="shared" ca="1" si="6"/>
        <v>1</v>
      </c>
      <c r="F4" s="2">
        <f ca="1">C4-Parameters!$B$4*E4</f>
        <v>99.75</v>
      </c>
      <c r="G4" s="2">
        <f ca="1">F4-Parameters!$B$3</f>
        <v>98.75</v>
      </c>
      <c r="H4" s="2">
        <f ca="1">F4+Parameters!$B$3</f>
        <v>100.75</v>
      </c>
      <c r="I4" s="2">
        <f t="shared" ca="1" si="0"/>
        <v>98.75</v>
      </c>
      <c r="J4" s="2">
        <f t="shared" ca="1" si="7"/>
        <v>-198.75</v>
      </c>
      <c r="K4" s="3">
        <f t="shared" ca="1" si="1"/>
        <v>2</v>
      </c>
      <c r="L4" s="2">
        <f t="shared" ca="1" si="2"/>
        <v>1.25</v>
      </c>
      <c r="M4" s="4">
        <f ca="1">MAX(0.05,MIN(0.95,0.5+Parameters!$B$7*(C4-F4)))</f>
        <v>0.55000000000000004</v>
      </c>
      <c r="N4" s="17">
        <v>0.77324210543548888</v>
      </c>
      <c r="O4" s="17">
        <v>0.33743301074660592</v>
      </c>
      <c r="P4" s="45" t="str">
        <f ca="1">IF(R4&gt;Q4,"NO TRADE",IF(OR(AND(B4="SELL",E4&gt;=Parameters!$B$9),AND(B4="BUY",E4&lt;=-Parameters!$B$9)),"REJECTED","EXECUTED"))</f>
        <v>EXECUTED</v>
      </c>
      <c r="Q4" s="61">
        <f>MAX(0.05,MIN(0.95,1-Parameters!$B$10*Parameters!$B$3))</f>
        <v>0.75</v>
      </c>
      <c r="R4" s="62">
        <f t="shared" ca="1" si="3"/>
        <v>0.56196476869988166</v>
      </c>
    </row>
    <row r="5" spans="1:18" x14ac:dyDescent="0.2">
      <c r="A5" s="3">
        <f t="shared" si="8"/>
        <v>4</v>
      </c>
      <c r="B5" t="str">
        <f t="shared" ca="1" si="4"/>
        <v>BUY</v>
      </c>
      <c r="C5" s="2">
        <f t="shared" si="5"/>
        <v>99</v>
      </c>
      <c r="D5" s="11">
        <f>IF(O5&lt;0.5,-Parameters!$B$8,Parameters!$B$8)</f>
        <v>-1</v>
      </c>
      <c r="E5" s="3">
        <f t="shared" ca="1" si="6"/>
        <v>2</v>
      </c>
      <c r="F5" s="2">
        <f ca="1">C5-Parameters!$B$4*E5</f>
        <v>98.5</v>
      </c>
      <c r="G5" s="2">
        <f ca="1">F5-Parameters!$B$3</f>
        <v>97.5</v>
      </c>
      <c r="H5" s="2">
        <f ca="1">F5+Parameters!$B$3</f>
        <v>99.5</v>
      </c>
      <c r="I5" s="2">
        <f t="shared" ca="1" si="0"/>
        <v>99.5</v>
      </c>
      <c r="J5" s="2">
        <f t="shared" ca="1" si="7"/>
        <v>-99.25</v>
      </c>
      <c r="K5" s="3">
        <f t="shared" ca="1" si="1"/>
        <v>1</v>
      </c>
      <c r="L5" s="2">
        <f t="shared" ca="1" si="2"/>
        <v>-0.25</v>
      </c>
      <c r="M5" s="4">
        <f ca="1">MAX(0.05,MIN(0.95,0.5+Parameters!$B$7*(C5-F5)))</f>
        <v>0.6</v>
      </c>
      <c r="N5" s="17">
        <v>0.49189412861862214</v>
      </c>
      <c r="O5" s="17">
        <v>0.36166166292862556</v>
      </c>
      <c r="P5" s="45" t="str">
        <f ca="1">IF(R5&gt;Q5,"NO TRADE",IF(OR(AND(B5="SELL",E5&gt;=Parameters!$B$9),AND(B5="BUY",E5&lt;=-Parameters!$B$9)),"REJECTED","EXECUTED"))</f>
        <v>EXECUTED</v>
      </c>
      <c r="Q5" s="61">
        <f>MAX(0.05,MIN(0.95,1-Parameters!$B$10*Parameters!$B$3))</f>
        <v>0.75</v>
      </c>
      <c r="R5" s="62">
        <f t="shared" ca="1" si="3"/>
        <v>0.32115760388971659</v>
      </c>
    </row>
    <row r="6" spans="1:18" x14ac:dyDescent="0.2">
      <c r="A6" s="3">
        <f t="shared" si="8"/>
        <v>5</v>
      </c>
      <c r="B6" t="str">
        <f t="shared" ca="1" si="4"/>
        <v>SELL</v>
      </c>
      <c r="C6" s="2">
        <f t="shared" si="5"/>
        <v>100</v>
      </c>
      <c r="D6" s="11">
        <f>IF(O6&lt;0.5,-Parameters!$B$8,Parameters!$B$8)</f>
        <v>1</v>
      </c>
      <c r="E6" s="3">
        <f t="shared" ca="1" si="6"/>
        <v>1</v>
      </c>
      <c r="F6" s="2">
        <f ca="1">C6-Parameters!$B$4*E6</f>
        <v>99.75</v>
      </c>
      <c r="G6" s="2">
        <f ca="1">F6-Parameters!$B$3</f>
        <v>98.75</v>
      </c>
      <c r="H6" s="2">
        <f ca="1">F6+Parameters!$B$3</f>
        <v>100.75</v>
      </c>
      <c r="I6" s="2">
        <f t="shared" ca="1" si="0"/>
        <v>98.75</v>
      </c>
      <c r="J6" s="2">
        <f t="shared" ca="1" si="7"/>
        <v>-198</v>
      </c>
      <c r="K6" s="3">
        <f t="shared" ca="1" si="1"/>
        <v>2</v>
      </c>
      <c r="L6" s="2">
        <f t="shared" ca="1" si="2"/>
        <v>2</v>
      </c>
      <c r="M6" s="4">
        <f ca="1">MAX(0.05,MIN(0.95,0.5+Parameters!$B$7*(C6-F6)))</f>
        <v>0.55000000000000004</v>
      </c>
      <c r="N6" s="17">
        <v>0.99836901181464033</v>
      </c>
      <c r="O6" s="17">
        <v>0.67598593800443196</v>
      </c>
      <c r="P6" s="45" t="str">
        <f ca="1">IF(R6&gt;Q6,"NO TRADE",IF(OR(AND(B6="SELL",E6&gt;=Parameters!$B$9),AND(B6="BUY",E6&lt;=-Parameters!$B$9)),"REJECTED","EXECUTED"))</f>
        <v>EXECUTED</v>
      </c>
      <c r="Q6" s="61">
        <f>MAX(0.05,MIN(0.95,1-Parameters!$B$10*Parameters!$B$3))</f>
        <v>0.75</v>
      </c>
      <c r="R6" s="62">
        <f t="shared" ca="1" si="3"/>
        <v>0.25268098784379633</v>
      </c>
    </row>
    <row r="7" spans="1:18" x14ac:dyDescent="0.2">
      <c r="A7" s="3">
        <f t="shared" si="8"/>
        <v>6</v>
      </c>
      <c r="B7" t="str">
        <f t="shared" ref="B7:B21" ca="1" si="9">IF(N7&lt;M7,"BUY","SELL")</f>
        <v>BUY</v>
      </c>
      <c r="C7" s="2">
        <f t="shared" si="5"/>
        <v>99</v>
      </c>
      <c r="D7" s="11">
        <f>IF(O7&lt;0.5,-Parameters!$B$8,Parameters!$B$8)</f>
        <v>-1</v>
      </c>
      <c r="E7" s="3">
        <f t="shared" ca="1" si="6"/>
        <v>2</v>
      </c>
      <c r="F7" s="2">
        <f ca="1">C7-Parameters!$B$4*E7</f>
        <v>98.5</v>
      </c>
      <c r="G7" s="2">
        <f ca="1">F7-Parameters!$B$3</f>
        <v>97.5</v>
      </c>
      <c r="H7" s="2">
        <f ca="1">F7+Parameters!$B$3</f>
        <v>99.5</v>
      </c>
      <c r="I7" s="2" t="str">
        <f t="shared" ca="1" si="0"/>
        <v/>
      </c>
      <c r="J7" s="2">
        <f t="shared" ca="1" si="7"/>
        <v>-198</v>
      </c>
      <c r="K7" s="3">
        <f t="shared" ca="1" si="1"/>
        <v>2</v>
      </c>
      <c r="L7" s="2">
        <f t="shared" ca="1" si="2"/>
        <v>0</v>
      </c>
      <c r="M7" s="4">
        <f ca="1">MAX(0.05,MIN(0.95,0.5+Parameters!$B$7*(C7-F7)))</f>
        <v>0.6</v>
      </c>
      <c r="N7" s="17">
        <v>0.10290689399972097</v>
      </c>
      <c r="O7" s="17">
        <v>0.24550918713419179</v>
      </c>
      <c r="P7" s="45" t="str">
        <f ca="1">IF(R7&gt;Q7,"NO TRADE",IF(OR(AND(B7="SELL",E7&gt;=Parameters!$B$9),AND(B7="BUY",E7&lt;=-Parameters!$B$9)),"REJECTED","EXECUTED"))</f>
        <v>NO TRADE</v>
      </c>
      <c r="Q7" s="61">
        <f>MAX(0.05,MIN(0.95,1-Parameters!$B$10*Parameters!$B$3))</f>
        <v>0.75</v>
      </c>
      <c r="R7" s="62">
        <f t="shared" ca="1" si="3"/>
        <v>0.77338633581471528</v>
      </c>
    </row>
    <row r="8" spans="1:18" x14ac:dyDescent="0.2">
      <c r="A8" s="3">
        <f t="shared" si="8"/>
        <v>7</v>
      </c>
      <c r="B8" t="str">
        <f t="shared" ca="1" si="9"/>
        <v>SELL</v>
      </c>
      <c r="C8" s="2">
        <f t="shared" si="5"/>
        <v>100</v>
      </c>
      <c r="D8" s="11">
        <f>IF(O8&lt;0.5,-Parameters!$B$8,Parameters!$B$8)</f>
        <v>1</v>
      </c>
      <c r="E8" s="3">
        <f t="shared" ca="1" si="6"/>
        <v>2</v>
      </c>
      <c r="F8" s="2">
        <f ca="1">C8-Parameters!$B$4*E8</f>
        <v>99.5</v>
      </c>
      <c r="G8" s="2">
        <f ca="1">F8-Parameters!$B$3</f>
        <v>98.5</v>
      </c>
      <c r="H8" s="2">
        <f ca="1">F8+Parameters!$B$3</f>
        <v>100.5</v>
      </c>
      <c r="I8" s="2">
        <f t="shared" ca="1" si="0"/>
        <v>98.5</v>
      </c>
      <c r="J8" s="2">
        <f t="shared" ca="1" si="7"/>
        <v>-296.5</v>
      </c>
      <c r="K8" s="3">
        <f t="shared" ca="1" si="1"/>
        <v>3</v>
      </c>
      <c r="L8" s="2">
        <f t="shared" ca="1" si="2"/>
        <v>3.5</v>
      </c>
      <c r="M8" s="4">
        <f ca="1">MAX(0.05,MIN(0.95,0.5+Parameters!$B$7*(C8-F8)))</f>
        <v>0.6</v>
      </c>
      <c r="N8" s="17">
        <v>0.93188989691614155</v>
      </c>
      <c r="O8" s="17">
        <v>0.52098036862011177</v>
      </c>
      <c r="P8" s="45" t="str">
        <f ca="1">IF(R8&gt;Q8,"NO TRADE",IF(OR(AND(B8="SELL",E8&gt;=Parameters!$B$9),AND(B8="BUY",E8&lt;=-Parameters!$B$9)),"REJECTED","EXECUTED"))</f>
        <v>EXECUTED</v>
      </c>
      <c r="Q8" s="61">
        <f>MAX(0.05,MIN(0.95,1-Parameters!$B$10*Parameters!$B$3))</f>
        <v>0.75</v>
      </c>
      <c r="R8" s="62">
        <f t="shared" ca="1" si="3"/>
        <v>0.64411270928639419</v>
      </c>
    </row>
    <row r="9" spans="1:18" x14ac:dyDescent="0.2">
      <c r="A9" s="3">
        <f t="shared" si="8"/>
        <v>8</v>
      </c>
      <c r="B9" t="str">
        <f t="shared" ca="1" si="9"/>
        <v>SELL</v>
      </c>
      <c r="C9" s="2">
        <f t="shared" si="5"/>
        <v>101</v>
      </c>
      <c r="D9" s="11">
        <f>IF(O9&lt;0.5,-Parameters!$B$8,Parameters!$B$8)</f>
        <v>1</v>
      </c>
      <c r="E9" s="3">
        <f t="shared" ca="1" si="6"/>
        <v>3</v>
      </c>
      <c r="F9" s="2">
        <f ca="1">C9-Parameters!$B$4*E9</f>
        <v>100.25</v>
      </c>
      <c r="G9" s="2">
        <f ca="1">F9-Parameters!$B$3</f>
        <v>99.25</v>
      </c>
      <c r="H9" s="2">
        <f ca="1">F9+Parameters!$B$3</f>
        <v>101.25</v>
      </c>
      <c r="I9" s="2">
        <f t="shared" ca="1" si="0"/>
        <v>99.25</v>
      </c>
      <c r="J9" s="2">
        <f t="shared" ca="1" si="7"/>
        <v>-395.75</v>
      </c>
      <c r="K9" s="3">
        <f t="shared" ca="1" si="1"/>
        <v>4</v>
      </c>
      <c r="L9" s="2">
        <f t="shared" ca="1" si="2"/>
        <v>8.25</v>
      </c>
      <c r="M9" s="4">
        <f ca="1">MAX(0.05,MIN(0.95,0.5+Parameters!$B$7*(C9-F9)))</f>
        <v>0.65</v>
      </c>
      <c r="N9" s="17">
        <v>0.99516678324192342</v>
      </c>
      <c r="O9" s="17">
        <v>0.82195716068393454</v>
      </c>
      <c r="P9" s="45" t="str">
        <f ca="1">IF(R9&gt;Q9,"NO TRADE",IF(OR(AND(B9="SELL",E9&gt;=Parameters!$B$9),AND(B9="BUY",E9&lt;=-Parameters!$B$9)),"REJECTED","EXECUTED"))</f>
        <v>EXECUTED</v>
      </c>
      <c r="Q9" s="61">
        <f>MAX(0.05,MIN(0.95,1-Parameters!$B$10*Parameters!$B$3))</f>
        <v>0.75</v>
      </c>
      <c r="R9" s="62">
        <f t="shared" ca="1" si="3"/>
        <v>0.35267707318348274</v>
      </c>
    </row>
    <row r="10" spans="1:18" x14ac:dyDescent="0.2">
      <c r="A10" s="3">
        <f t="shared" si="8"/>
        <v>9</v>
      </c>
      <c r="B10" t="str">
        <f t="shared" ca="1" si="9"/>
        <v>BUY</v>
      </c>
      <c r="C10" s="2">
        <f t="shared" si="5"/>
        <v>100</v>
      </c>
      <c r="D10" s="11">
        <f>IF(O10&lt;0.5,-Parameters!$B$8,Parameters!$B$8)</f>
        <v>-1</v>
      </c>
      <c r="E10" s="3">
        <f t="shared" ca="1" si="6"/>
        <v>4</v>
      </c>
      <c r="F10" s="2">
        <f ca="1">C10-Parameters!$B$4*E10</f>
        <v>99</v>
      </c>
      <c r="G10" s="2">
        <f ca="1">F10-Parameters!$B$3</f>
        <v>98</v>
      </c>
      <c r="H10" s="2">
        <f ca="1">F10+Parameters!$B$3</f>
        <v>100</v>
      </c>
      <c r="I10" s="2">
        <f t="shared" ca="1" si="0"/>
        <v>100</v>
      </c>
      <c r="J10" s="2">
        <f t="shared" ca="1" si="7"/>
        <v>-295.75</v>
      </c>
      <c r="K10" s="3">
        <f t="shared" ca="1" si="1"/>
        <v>3</v>
      </c>
      <c r="L10" s="2">
        <f t="shared" ca="1" si="2"/>
        <v>4.25</v>
      </c>
      <c r="M10" s="4">
        <f ca="1">MAX(0.05,MIN(0.95,0.5+Parameters!$B$7*(C10-F10)))</f>
        <v>0.7</v>
      </c>
      <c r="N10" s="17">
        <v>0.60738987251347254</v>
      </c>
      <c r="O10" s="17">
        <v>6.0462992783157254E-2</v>
      </c>
      <c r="P10" s="45" t="str">
        <f ca="1">IF(R10&gt;Q10,"NO TRADE",IF(OR(AND(B10="SELL",E10&gt;=Parameters!$B$9),AND(B10="BUY",E10&lt;=-Parameters!$B$9)),"REJECTED","EXECUTED"))</f>
        <v>EXECUTED</v>
      </c>
      <c r="Q10" s="61">
        <f>MAX(0.05,MIN(0.95,1-Parameters!$B$10*Parameters!$B$3))</f>
        <v>0.75</v>
      </c>
      <c r="R10" s="62">
        <f t="shared" ca="1" si="3"/>
        <v>0.25038237662771778</v>
      </c>
    </row>
    <row r="11" spans="1:18" x14ac:dyDescent="0.2">
      <c r="A11" s="3">
        <f t="shared" si="8"/>
        <v>10</v>
      </c>
      <c r="B11" t="str">
        <f t="shared" ca="1" si="9"/>
        <v>BUY</v>
      </c>
      <c r="C11" s="2">
        <f t="shared" si="5"/>
        <v>101</v>
      </c>
      <c r="D11" s="11">
        <f>IF(O11&lt;0.5,-Parameters!$B$8,Parameters!$B$8)</f>
        <v>1</v>
      </c>
      <c r="E11" s="3">
        <f t="shared" ca="1" si="6"/>
        <v>3</v>
      </c>
      <c r="F11" s="2">
        <f ca="1">C11-Parameters!$B$4*E11</f>
        <v>100.25</v>
      </c>
      <c r="G11" s="2">
        <f ca="1">F11-Parameters!$B$3</f>
        <v>99.25</v>
      </c>
      <c r="H11" s="2">
        <f ca="1">F11+Parameters!$B$3</f>
        <v>101.25</v>
      </c>
      <c r="I11" s="2">
        <f t="shared" ca="1" si="0"/>
        <v>101.25</v>
      </c>
      <c r="J11" s="2">
        <f t="shared" ca="1" si="7"/>
        <v>-194.5</v>
      </c>
      <c r="K11" s="3">
        <f t="shared" ca="1" si="1"/>
        <v>2</v>
      </c>
      <c r="L11" s="2">
        <f t="shared" ca="1" si="2"/>
        <v>7.5</v>
      </c>
      <c r="M11" s="4">
        <f ca="1">MAX(0.05,MIN(0.95,0.5+Parameters!$B$7*(C11-F11)))</f>
        <v>0.65</v>
      </c>
      <c r="N11" s="17">
        <v>0.64514693645250865</v>
      </c>
      <c r="O11" s="17">
        <v>0.53736940980920345</v>
      </c>
      <c r="P11" s="45" t="str">
        <f ca="1">IF(R11&gt;Q11,"NO TRADE",IF(OR(AND(B11="SELL",E11&gt;=Parameters!$B$9),AND(B11="BUY",E11&lt;=-Parameters!$B$9)),"REJECTED","EXECUTED"))</f>
        <v>EXECUTED</v>
      </c>
      <c r="Q11" s="61">
        <f>MAX(0.05,MIN(0.95,1-Parameters!$B$10*Parameters!$B$3))</f>
        <v>0.75</v>
      </c>
      <c r="R11" s="62">
        <f t="shared" ca="1" si="3"/>
        <v>5.0335069271813637E-2</v>
      </c>
    </row>
    <row r="12" spans="1:18" x14ac:dyDescent="0.2">
      <c r="A12" s="3">
        <f t="shared" si="8"/>
        <v>11</v>
      </c>
      <c r="B12" t="str">
        <f t="shared" ca="1" si="9"/>
        <v>BUY</v>
      </c>
      <c r="C12" s="2">
        <f t="shared" si="5"/>
        <v>102</v>
      </c>
      <c r="D12" s="11">
        <f>IF(O12&lt;0.5,-Parameters!$B$8,Parameters!$B$8)</f>
        <v>1</v>
      </c>
      <c r="E12" s="3">
        <f t="shared" ca="1" si="6"/>
        <v>2</v>
      </c>
      <c r="F12" s="2">
        <f ca="1">C12-Parameters!$B$4*E12</f>
        <v>101.5</v>
      </c>
      <c r="G12" s="2">
        <f ca="1">F12-Parameters!$B$3</f>
        <v>100.5</v>
      </c>
      <c r="H12" s="2">
        <f ca="1">F12+Parameters!$B$3</f>
        <v>102.5</v>
      </c>
      <c r="I12" s="2">
        <f t="shared" ca="1" si="0"/>
        <v>102.5</v>
      </c>
      <c r="J12" s="2">
        <f t="shared" ca="1" si="7"/>
        <v>-92</v>
      </c>
      <c r="K12" s="3">
        <f t="shared" ca="1" si="1"/>
        <v>1</v>
      </c>
      <c r="L12" s="2">
        <f t="shared" ca="1" si="2"/>
        <v>10</v>
      </c>
      <c r="M12" s="4">
        <f ca="1">MAX(0.05,MIN(0.95,0.5+Parameters!$B$7*(C12-F12)))</f>
        <v>0.6</v>
      </c>
      <c r="N12" s="17">
        <v>0.30264633297266696</v>
      </c>
      <c r="O12" s="17">
        <v>0.59427334311753155</v>
      </c>
      <c r="P12" s="45" t="str">
        <f ca="1">IF(R12&gt;Q12,"NO TRADE",IF(OR(AND(B12="SELL",E12&gt;=Parameters!$B$9),AND(B12="BUY",E12&lt;=-Parameters!$B$9)),"REJECTED","EXECUTED"))</f>
        <v>EXECUTED</v>
      </c>
      <c r="Q12" s="61">
        <f>MAX(0.05,MIN(0.95,1-Parameters!$B$10*Parameters!$B$3))</f>
        <v>0.75</v>
      </c>
      <c r="R12" s="62">
        <f t="shared" ca="1" si="3"/>
        <v>0.72230502843196243</v>
      </c>
    </row>
    <row r="13" spans="1:18" x14ac:dyDescent="0.2">
      <c r="A13" s="3">
        <f t="shared" si="8"/>
        <v>12</v>
      </c>
      <c r="B13" t="str">
        <f t="shared" ca="1" si="9"/>
        <v>SELL</v>
      </c>
      <c r="C13" s="2">
        <f t="shared" si="5"/>
        <v>101</v>
      </c>
      <c r="D13" s="11">
        <f>IF(O13&lt;0.5,-Parameters!$B$8,Parameters!$B$8)</f>
        <v>-1</v>
      </c>
      <c r="E13" s="3">
        <f t="shared" ca="1" si="6"/>
        <v>1</v>
      </c>
      <c r="F13" s="2">
        <f ca="1">C13-Parameters!$B$4*E13</f>
        <v>100.75</v>
      </c>
      <c r="G13" s="2">
        <f ca="1">F13-Parameters!$B$3</f>
        <v>99.75</v>
      </c>
      <c r="H13" s="2">
        <f ca="1">F13+Parameters!$B$3</f>
        <v>101.75</v>
      </c>
      <c r="I13" s="2">
        <f t="shared" ca="1" si="0"/>
        <v>99.75</v>
      </c>
      <c r="J13" s="2">
        <f t="shared" ca="1" si="7"/>
        <v>-191.75</v>
      </c>
      <c r="K13" s="3">
        <f t="shared" ca="1" si="1"/>
        <v>2</v>
      </c>
      <c r="L13" s="2">
        <f t="shared" ca="1" si="2"/>
        <v>10.25</v>
      </c>
      <c r="M13" s="4">
        <f ca="1">MAX(0.05,MIN(0.95,0.5+Parameters!$B$7*(C13-F13)))</f>
        <v>0.55000000000000004</v>
      </c>
      <c r="N13" s="17">
        <v>0.78305913514582748</v>
      </c>
      <c r="O13" s="17">
        <v>9.8288778496186557E-2</v>
      </c>
      <c r="P13" s="45" t="str">
        <f ca="1">IF(R13&gt;Q13,"NO TRADE",IF(OR(AND(B13="SELL",E13&gt;=Parameters!$B$9),AND(B13="BUY",E13&lt;=-Parameters!$B$9)),"REJECTED","EXECUTED"))</f>
        <v>EXECUTED</v>
      </c>
      <c r="Q13" s="61">
        <f>MAX(0.05,MIN(0.95,1-Parameters!$B$10*Parameters!$B$3))</f>
        <v>0.75</v>
      </c>
      <c r="R13" s="62">
        <f t="shared" ca="1" si="3"/>
        <v>0.2510777303195274</v>
      </c>
    </row>
    <row r="14" spans="1:18" x14ac:dyDescent="0.2">
      <c r="A14" s="3">
        <f t="shared" si="8"/>
        <v>13</v>
      </c>
      <c r="B14" t="str">
        <f t="shared" ca="1" si="9"/>
        <v>SELL</v>
      </c>
      <c r="C14" s="2">
        <f t="shared" si="5"/>
        <v>102</v>
      </c>
      <c r="D14" s="11">
        <f>IF(O14&lt;0.5,-Parameters!$B$8,Parameters!$B$8)</f>
        <v>1</v>
      </c>
      <c r="E14" s="3">
        <f t="shared" ca="1" si="6"/>
        <v>2</v>
      </c>
      <c r="F14" s="2">
        <f ca="1">C14-Parameters!$B$4*E14</f>
        <v>101.5</v>
      </c>
      <c r="G14" s="2">
        <f ca="1">F14-Parameters!$B$3</f>
        <v>100.5</v>
      </c>
      <c r="H14" s="2">
        <f ca="1">F14+Parameters!$B$3</f>
        <v>102.5</v>
      </c>
      <c r="I14" s="2">
        <f t="shared" ca="1" si="0"/>
        <v>100.5</v>
      </c>
      <c r="J14" s="2">
        <f t="shared" ca="1" si="7"/>
        <v>-292.25</v>
      </c>
      <c r="K14" s="3">
        <f t="shared" ca="1" si="1"/>
        <v>3</v>
      </c>
      <c r="L14" s="2">
        <f t="shared" ca="1" si="2"/>
        <v>13.75</v>
      </c>
      <c r="M14" s="4">
        <f ca="1">MAX(0.05,MIN(0.95,0.5+Parameters!$B$7*(C14-F14)))</f>
        <v>0.6</v>
      </c>
      <c r="N14" s="17">
        <v>0.93812006206334053</v>
      </c>
      <c r="O14" s="17">
        <v>0.97406023384151552</v>
      </c>
      <c r="P14" s="45" t="str">
        <f ca="1">IF(R14&gt;Q14,"NO TRADE",IF(OR(AND(B14="SELL",E14&gt;=Parameters!$B$9),AND(B14="BUY",E14&lt;=-Parameters!$B$9)),"REJECTED","EXECUTED"))</f>
        <v>EXECUTED</v>
      </c>
      <c r="Q14" s="61">
        <f>MAX(0.05,MIN(0.95,1-Parameters!$B$10*Parameters!$B$3))</f>
        <v>0.75</v>
      </c>
      <c r="R14" s="62">
        <f t="shared" ca="1" si="3"/>
        <v>0.64348578605776752</v>
      </c>
    </row>
    <row r="15" spans="1:18" x14ac:dyDescent="0.2">
      <c r="A15" s="3">
        <f t="shared" si="8"/>
        <v>14</v>
      </c>
      <c r="B15" t="str">
        <f t="shared" ca="1" si="9"/>
        <v>BUY</v>
      </c>
      <c r="C15" s="2">
        <f t="shared" si="5"/>
        <v>101</v>
      </c>
      <c r="D15" s="11">
        <f>IF(O15&lt;0.5,-Parameters!$B$8,Parameters!$B$8)</f>
        <v>-1</v>
      </c>
      <c r="E15" s="3">
        <f t="shared" ca="1" si="6"/>
        <v>3</v>
      </c>
      <c r="F15" s="2">
        <f ca="1">C15-Parameters!$B$4*E15</f>
        <v>100.25</v>
      </c>
      <c r="G15" s="2">
        <f ca="1">F15-Parameters!$B$3</f>
        <v>99.25</v>
      </c>
      <c r="H15" s="2">
        <f ca="1">F15+Parameters!$B$3</f>
        <v>101.25</v>
      </c>
      <c r="I15" s="2">
        <f t="shared" ca="1" si="0"/>
        <v>101.25</v>
      </c>
      <c r="J15" s="2">
        <f t="shared" ca="1" si="7"/>
        <v>-191</v>
      </c>
      <c r="K15" s="3">
        <f t="shared" ca="1" si="1"/>
        <v>2</v>
      </c>
      <c r="L15" s="2">
        <f t="shared" ca="1" si="2"/>
        <v>11</v>
      </c>
      <c r="M15" s="4">
        <f ca="1">MAX(0.05,MIN(0.95,0.5+Parameters!$B$7*(C15-F15)))</f>
        <v>0.65</v>
      </c>
      <c r="N15" s="17">
        <v>0.60653455700224856</v>
      </c>
      <c r="O15" s="17">
        <v>2.7305591168393706E-2</v>
      </c>
      <c r="P15" s="45" t="str">
        <f ca="1">IF(R15&gt;Q15,"NO TRADE",IF(OR(AND(B15="SELL",E15&gt;=Parameters!$B$9),AND(B15="BUY",E15&lt;=-Parameters!$B$9)),"REJECTED","EXECUTED"))</f>
        <v>EXECUTED</v>
      </c>
      <c r="Q15" s="61">
        <f>MAX(0.05,MIN(0.95,1-Parameters!$B$10*Parameters!$B$3))</f>
        <v>0.75</v>
      </c>
      <c r="R15" s="62">
        <f t="shared" ca="1" si="3"/>
        <v>6.889993461493682E-2</v>
      </c>
    </row>
    <row r="16" spans="1:18" x14ac:dyDescent="0.2">
      <c r="A16" s="3">
        <f t="shared" si="8"/>
        <v>15</v>
      </c>
      <c r="B16" t="str">
        <f t="shared" ca="1" si="9"/>
        <v>SELL</v>
      </c>
      <c r="C16" s="2">
        <f t="shared" si="5"/>
        <v>100</v>
      </c>
      <c r="D16" s="11">
        <f>IF(O16&lt;0.5,-Parameters!$B$8,Parameters!$B$8)</f>
        <v>-1</v>
      </c>
      <c r="E16" s="3">
        <f t="shared" ca="1" si="6"/>
        <v>2</v>
      </c>
      <c r="F16" s="2">
        <f ca="1">C16-Parameters!$B$4*E16</f>
        <v>99.5</v>
      </c>
      <c r="G16" s="2">
        <f ca="1">F16-Parameters!$B$3</f>
        <v>98.5</v>
      </c>
      <c r="H16" s="2">
        <f ca="1">F16+Parameters!$B$3</f>
        <v>100.5</v>
      </c>
      <c r="I16" s="2">
        <f t="shared" ca="1" si="0"/>
        <v>98.5</v>
      </c>
      <c r="J16" s="2">
        <f t="shared" ca="1" si="7"/>
        <v>-289.5</v>
      </c>
      <c r="K16" s="3">
        <f t="shared" ca="1" si="1"/>
        <v>3</v>
      </c>
      <c r="L16" s="2">
        <f t="shared" ca="1" si="2"/>
        <v>10.5</v>
      </c>
      <c r="M16" s="4">
        <f ca="1">MAX(0.05,MIN(0.95,0.5+Parameters!$B$7*(C16-F16)))</f>
        <v>0.6</v>
      </c>
      <c r="N16" s="17">
        <v>0.88926357440420511</v>
      </c>
      <c r="O16" s="17">
        <v>0.37068302988353474</v>
      </c>
      <c r="P16" s="45" t="str">
        <f ca="1">IF(R16&gt;Q16,"NO TRADE",IF(OR(AND(B16="SELL",E16&gt;=Parameters!$B$9),AND(B16="BUY",E16&lt;=-Parameters!$B$9)),"REJECTED","EXECUTED"))</f>
        <v>EXECUTED</v>
      </c>
      <c r="Q16" s="61">
        <f>MAX(0.05,MIN(0.95,1-Parameters!$B$10*Parameters!$B$3))</f>
        <v>0.75</v>
      </c>
      <c r="R16" s="62">
        <f t="shared" ca="1" si="3"/>
        <v>4.620895810152037E-2</v>
      </c>
    </row>
    <row r="17" spans="1:18" x14ac:dyDescent="0.2">
      <c r="A17" s="3">
        <f t="shared" si="8"/>
        <v>16</v>
      </c>
      <c r="B17" t="str">
        <f t="shared" ca="1" si="9"/>
        <v>SELL</v>
      </c>
      <c r="C17" s="2">
        <f t="shared" si="5"/>
        <v>101</v>
      </c>
      <c r="D17" s="11">
        <f>IF(O17&lt;0.5,-Parameters!$B$8,Parameters!$B$8)</f>
        <v>1</v>
      </c>
      <c r="E17" s="3">
        <f t="shared" ca="1" si="6"/>
        <v>3</v>
      </c>
      <c r="F17" s="2">
        <f ca="1">C17-Parameters!$B$4*E17</f>
        <v>100.25</v>
      </c>
      <c r="G17" s="2">
        <f ca="1">F17-Parameters!$B$3</f>
        <v>99.25</v>
      </c>
      <c r="H17" s="2">
        <f ca="1">F17+Parameters!$B$3</f>
        <v>101.25</v>
      </c>
      <c r="I17" s="2">
        <f t="shared" ca="1" si="0"/>
        <v>99.25</v>
      </c>
      <c r="J17" s="2">
        <f t="shared" ca="1" si="7"/>
        <v>-388.75</v>
      </c>
      <c r="K17" s="3">
        <f t="shared" ca="1" si="1"/>
        <v>4</v>
      </c>
      <c r="L17" s="2">
        <f t="shared" ca="1" si="2"/>
        <v>15.25</v>
      </c>
      <c r="M17" s="4">
        <f ca="1">MAX(0.05,MIN(0.95,0.5+Parameters!$B$7*(C17-F17)))</f>
        <v>0.65</v>
      </c>
      <c r="N17" s="17">
        <v>0.70612356632706164</v>
      </c>
      <c r="O17" s="17">
        <v>0.52052210147787414</v>
      </c>
      <c r="P17" s="45" t="str">
        <f ca="1">IF(R17&gt;Q17,"NO TRADE",IF(OR(AND(B17="SELL",E17&gt;=Parameters!$B$9),AND(B17="BUY",E17&lt;=-Parameters!$B$9)),"REJECTED","EXECUTED"))</f>
        <v>EXECUTED</v>
      </c>
      <c r="Q17" s="61">
        <f>MAX(0.05,MIN(0.95,1-Parameters!$B$10*Parameters!$B$3))</f>
        <v>0.75</v>
      </c>
      <c r="R17" s="62">
        <f t="shared" ca="1" si="3"/>
        <v>0.11333902118244221</v>
      </c>
    </row>
    <row r="18" spans="1:18" x14ac:dyDescent="0.2">
      <c r="A18" s="3">
        <f t="shared" si="8"/>
        <v>17</v>
      </c>
      <c r="B18" t="str">
        <f t="shared" ca="1" si="9"/>
        <v>BUY</v>
      </c>
      <c r="C18" s="2">
        <f t="shared" si="5"/>
        <v>102</v>
      </c>
      <c r="D18" s="11">
        <f>IF(O18&lt;0.5,-Parameters!$B$8,Parameters!$B$8)</f>
        <v>1</v>
      </c>
      <c r="E18" s="3">
        <f t="shared" ca="1" si="6"/>
        <v>4</v>
      </c>
      <c r="F18" s="2">
        <f ca="1">C18-Parameters!$B$4*E18</f>
        <v>101</v>
      </c>
      <c r="G18" s="2">
        <f ca="1">F18-Parameters!$B$3</f>
        <v>100</v>
      </c>
      <c r="H18" s="2">
        <f ca="1">F18+Parameters!$B$3</f>
        <v>102</v>
      </c>
      <c r="I18" s="2">
        <f t="shared" ca="1" si="0"/>
        <v>102</v>
      </c>
      <c r="J18" s="2">
        <f t="shared" ca="1" si="7"/>
        <v>-286.75</v>
      </c>
      <c r="K18" s="3">
        <f t="shared" ca="1" si="1"/>
        <v>3</v>
      </c>
      <c r="L18" s="2">
        <f t="shared" ca="1" si="2"/>
        <v>19.25</v>
      </c>
      <c r="M18" s="4">
        <f ca="1">MAX(0.05,MIN(0.95,0.5+Parameters!$B$7*(C18-F18)))</f>
        <v>0.7</v>
      </c>
      <c r="N18" s="17">
        <v>4.031483698143512E-2</v>
      </c>
      <c r="O18" s="17">
        <v>0.56973973405525846</v>
      </c>
      <c r="P18" s="45" t="str">
        <f ca="1">IF(R18&gt;Q18,"NO TRADE",IF(OR(AND(B18="SELL",E18&gt;=Parameters!$B$9),AND(B18="BUY",E18&lt;=-Parameters!$B$9)),"REJECTED","EXECUTED"))</f>
        <v>EXECUTED</v>
      </c>
      <c r="Q18" s="61">
        <f>MAX(0.05,MIN(0.95,1-Parameters!$B$10*Parameters!$B$3))</f>
        <v>0.75</v>
      </c>
      <c r="R18" s="62">
        <f t="shared" ca="1" si="3"/>
        <v>0.69103712819512142</v>
      </c>
    </row>
    <row r="19" spans="1:18" x14ac:dyDescent="0.2">
      <c r="A19" s="3">
        <f t="shared" si="8"/>
        <v>18</v>
      </c>
      <c r="B19" t="str">
        <f t="shared" ca="1" si="9"/>
        <v>SELL</v>
      </c>
      <c r="C19" s="2">
        <f t="shared" si="5"/>
        <v>101</v>
      </c>
      <c r="D19" s="11">
        <f>IF(O19&lt;0.5,-Parameters!$B$8,Parameters!$B$8)</f>
        <v>-1</v>
      </c>
      <c r="E19" s="3">
        <f t="shared" ca="1" si="6"/>
        <v>3</v>
      </c>
      <c r="F19" s="2">
        <f ca="1">C19-Parameters!$B$4*E19</f>
        <v>100.25</v>
      </c>
      <c r="G19" s="2">
        <f ca="1">F19-Parameters!$B$3</f>
        <v>99.25</v>
      </c>
      <c r="H19" s="2">
        <f ca="1">F19+Parameters!$B$3</f>
        <v>101.25</v>
      </c>
      <c r="I19" s="2">
        <f t="shared" ca="1" si="0"/>
        <v>99.25</v>
      </c>
      <c r="J19" s="2">
        <f t="shared" ca="1" si="7"/>
        <v>-386</v>
      </c>
      <c r="K19" s="3">
        <f t="shared" ca="1" si="1"/>
        <v>4</v>
      </c>
      <c r="L19" s="2">
        <f t="shared" ca="1" si="2"/>
        <v>18</v>
      </c>
      <c r="M19" s="4">
        <f ca="1">MAX(0.05,MIN(0.95,0.5+Parameters!$B$7*(C19-F19)))</f>
        <v>0.65</v>
      </c>
      <c r="N19" s="17">
        <v>0.81169574771323405</v>
      </c>
      <c r="O19" s="17">
        <v>0.4089205843440008</v>
      </c>
      <c r="P19" s="45" t="str">
        <f ca="1">IF(R19&gt;Q19,"NO TRADE",IF(OR(AND(B19="SELL",E19&gt;=Parameters!$B$9),AND(B19="BUY",E19&lt;=-Parameters!$B$9)),"REJECTED","EXECUTED"))</f>
        <v>EXECUTED</v>
      </c>
      <c r="Q19" s="61">
        <f>MAX(0.05,MIN(0.95,1-Parameters!$B$10*Parameters!$B$3))</f>
        <v>0.75</v>
      </c>
      <c r="R19" s="62">
        <f t="shared" ca="1" si="3"/>
        <v>0.11015119653521888</v>
      </c>
    </row>
    <row r="20" spans="1:18" x14ac:dyDescent="0.2">
      <c r="A20" s="3">
        <f t="shared" si="8"/>
        <v>19</v>
      </c>
      <c r="B20" t="str">
        <f t="shared" ca="1" si="9"/>
        <v>BUY</v>
      </c>
      <c r="C20" s="2">
        <f t="shared" si="5"/>
        <v>100</v>
      </c>
      <c r="D20" s="11">
        <f>IF(O20&lt;0.5,-Parameters!$B$8,Parameters!$B$8)</f>
        <v>-1</v>
      </c>
      <c r="E20" s="3">
        <f t="shared" ca="1" si="6"/>
        <v>4</v>
      </c>
      <c r="F20" s="2">
        <f ca="1">C20-Parameters!$B$4*E20</f>
        <v>99</v>
      </c>
      <c r="G20" s="2">
        <f ca="1">F20-Parameters!$B$3</f>
        <v>98</v>
      </c>
      <c r="H20" s="2">
        <f ca="1">F20+Parameters!$B$3</f>
        <v>100</v>
      </c>
      <c r="I20" s="2" t="str">
        <f t="shared" ca="1" si="0"/>
        <v/>
      </c>
      <c r="J20" s="2">
        <f t="shared" ca="1" si="7"/>
        <v>-386</v>
      </c>
      <c r="K20" s="3">
        <f t="shared" ca="1" si="1"/>
        <v>4</v>
      </c>
      <c r="L20" s="2">
        <f t="shared" ca="1" si="2"/>
        <v>14</v>
      </c>
      <c r="M20" s="4">
        <f ca="1">MAX(0.05,MIN(0.95,0.5+Parameters!$B$7*(C20-F20)))</f>
        <v>0.7</v>
      </c>
      <c r="N20" s="17">
        <v>0.36539096761312051</v>
      </c>
      <c r="O20" s="17">
        <v>0.28035232363644758</v>
      </c>
      <c r="P20" s="45" t="str">
        <f ca="1">IF(R20&gt;Q20,"NO TRADE",IF(OR(AND(B20="SELL",E20&gt;=Parameters!$B$9),AND(B20="BUY",E20&lt;=-Parameters!$B$9)),"REJECTED","EXECUTED"))</f>
        <v>NO TRADE</v>
      </c>
      <c r="Q20" s="61">
        <f>MAX(0.05,MIN(0.95,1-Parameters!$B$10*Parameters!$B$3))</f>
        <v>0.75</v>
      </c>
      <c r="R20" s="62">
        <f t="shared" ca="1" si="3"/>
        <v>0.94703820705848896</v>
      </c>
    </row>
    <row r="21" spans="1:18" x14ac:dyDescent="0.2">
      <c r="A21" s="3">
        <f t="shared" si="8"/>
        <v>20</v>
      </c>
      <c r="B21" t="str">
        <f t="shared" ca="1" si="9"/>
        <v>SELL</v>
      </c>
      <c r="C21" s="2">
        <f t="shared" si="5"/>
        <v>101</v>
      </c>
      <c r="D21" s="11">
        <f>IF(O21&lt;0.5,-Parameters!$B$8,Parameters!$B$8)</f>
        <v>1</v>
      </c>
      <c r="E21" s="3">
        <f t="shared" ca="1" si="6"/>
        <v>4</v>
      </c>
      <c r="F21" s="2">
        <f ca="1">C21-Parameters!$B$4*E21</f>
        <v>100</v>
      </c>
      <c r="G21" s="2">
        <f ca="1">F21-Parameters!$B$3</f>
        <v>99</v>
      </c>
      <c r="H21" s="2">
        <f ca="1">F21+Parameters!$B$3</f>
        <v>101</v>
      </c>
      <c r="I21" s="2">
        <f t="shared" ca="1" si="0"/>
        <v>99</v>
      </c>
      <c r="J21" s="2">
        <f t="shared" ca="1" si="7"/>
        <v>-485</v>
      </c>
      <c r="K21" s="3">
        <f t="shared" ca="1" si="1"/>
        <v>5</v>
      </c>
      <c r="L21" s="2">
        <f t="shared" ca="1" si="2"/>
        <v>20</v>
      </c>
      <c r="M21" s="4">
        <f ca="1">MAX(0.05,MIN(0.95,0.5+Parameters!$B$7*(C21-F21)))</f>
        <v>0.7</v>
      </c>
      <c r="N21" s="17">
        <v>0.96663360539977938</v>
      </c>
      <c r="O21" s="17">
        <v>0.7018074527215894</v>
      </c>
      <c r="P21" s="45" t="str">
        <f ca="1">IF(R21&gt;Q21,"NO TRADE",IF(OR(AND(B21="SELL",E21&gt;=Parameters!$B$9),AND(B21="BUY",E21&lt;=-Parameters!$B$9)),"REJECTED","EXECUTED"))</f>
        <v>EXECUTED</v>
      </c>
      <c r="Q21" s="61">
        <f>MAX(0.05,MIN(0.95,1-Parameters!$B$10*Parameters!$B$3))</f>
        <v>0.75</v>
      </c>
      <c r="R21" s="62">
        <f t="shared" ca="1" si="3"/>
        <v>8.9414755177511185E-2</v>
      </c>
    </row>
    <row r="22" spans="1:18" x14ac:dyDescent="0.2">
      <c r="A22">
        <f t="shared" si="8"/>
        <v>21</v>
      </c>
      <c r="C22">
        <f>Parameters!$B$2</f>
        <v>100</v>
      </c>
      <c r="E22" t="str">
        <f>IF(B22="","",K21)</f>
        <v/>
      </c>
      <c r="F22" t="str">
        <f>IF(B22="","",C22-Parameters!$B$4*E22)</f>
        <v/>
      </c>
      <c r="G22" t="str">
        <f>IF(B22="","",F22-Parameters!$B$3)</f>
        <v/>
      </c>
      <c r="H22" t="str">
        <f>IF(B22="","",F22+Parameters!$B$3)</f>
        <v/>
      </c>
      <c r="I22" t="str">
        <f>IF(B22="","",IF(B22="SELL",G22,H22))</f>
        <v/>
      </c>
      <c r="J22" t="str">
        <f>IF(B22="","",IF(B22="SELL",J21-I22,J21+I22))</f>
        <v/>
      </c>
      <c r="K22" t="str">
        <f>IF(B22="","",IF(B22="SELL",E22+1,E22-1))</f>
        <v/>
      </c>
      <c r="L22" t="str">
        <f>IF(B22="","",J22+K22*C22)</f>
        <v/>
      </c>
    </row>
  </sheetData>
  <dataValidations count="1">
    <dataValidation type="list" sqref="B2:B21" xr:uid="{00000000-0002-0000-0100-000000000000}">
      <formula1>"BUY,SELL"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80"/>
  <sheetViews>
    <sheetView topLeftCell="A376" zoomScale="139" zoomScaleNormal="100" workbookViewId="0">
      <selection activeCell="G403" sqref="G403"/>
    </sheetView>
  </sheetViews>
  <sheetFormatPr baseColWidth="10" defaultColWidth="8.83203125" defaultRowHeight="16" x14ac:dyDescent="0.2"/>
  <cols>
    <col min="1" max="1" width="23" customWidth="1"/>
    <col min="2" max="2" width="9" customWidth="1"/>
    <col min="3" max="3" width="15" customWidth="1"/>
    <col min="4" max="5" width="24" customWidth="1"/>
    <col min="6" max="7" width="19" customWidth="1"/>
  </cols>
  <sheetData>
    <row r="1" spans="1:5" ht="26.75" customHeight="1" x14ac:dyDescent="0.2">
      <c r="A1" s="6" t="s">
        <v>20</v>
      </c>
      <c r="B1" s="6" t="s">
        <v>21</v>
      </c>
      <c r="C1" s="6" t="s">
        <v>22</v>
      </c>
      <c r="D1" s="6" t="s">
        <v>23</v>
      </c>
      <c r="E1" s="6" t="s">
        <v>24</v>
      </c>
    </row>
    <row r="2" spans="1:5" ht="26.75" customHeight="1" x14ac:dyDescent="0.2">
      <c r="A2" s="5" t="s">
        <v>25</v>
      </c>
      <c r="B2" s="7">
        <v>0.25</v>
      </c>
      <c r="C2" s="7">
        <v>3.5</v>
      </c>
      <c r="D2" s="8">
        <v>4</v>
      </c>
      <c r="E2" s="8">
        <v>4</v>
      </c>
    </row>
    <row r="3" spans="1:5" ht="26.75" customHeight="1" x14ac:dyDescent="0.2">
      <c r="A3" s="5" t="s">
        <v>26</v>
      </c>
      <c r="B3" s="7">
        <v>0</v>
      </c>
      <c r="C3" s="7">
        <v>4</v>
      </c>
      <c r="D3" s="8">
        <v>4</v>
      </c>
      <c r="E3" s="8">
        <v>4</v>
      </c>
    </row>
    <row r="5" spans="1:5" x14ac:dyDescent="0.2">
      <c r="A5" s="9" t="s">
        <v>27</v>
      </c>
      <c r="B5" s="9"/>
      <c r="C5" s="9"/>
      <c r="D5" s="9"/>
      <c r="E5" s="9"/>
    </row>
    <row r="6" spans="1:5" x14ac:dyDescent="0.2">
      <c r="A6" s="9" t="s">
        <v>28</v>
      </c>
      <c r="B6" s="9"/>
      <c r="C6" s="9"/>
      <c r="D6" s="9"/>
      <c r="E6" s="9"/>
    </row>
    <row r="7" spans="1:5" x14ac:dyDescent="0.2">
      <c r="A7" s="9" t="s">
        <v>29</v>
      </c>
      <c r="B7" s="9"/>
      <c r="C7" s="9"/>
      <c r="D7" s="9"/>
      <c r="E7" s="9"/>
    </row>
    <row r="8" spans="1:5" x14ac:dyDescent="0.2">
      <c r="A8" s="9" t="s">
        <v>30</v>
      </c>
      <c r="B8" s="9"/>
      <c r="C8" s="9"/>
      <c r="D8" s="9"/>
      <c r="E8" s="9"/>
    </row>
    <row r="10" spans="1:5" x14ac:dyDescent="0.2">
      <c r="A10" s="10" t="s">
        <v>31</v>
      </c>
    </row>
    <row r="12" spans="1:5" ht="20" customHeight="1" x14ac:dyDescent="0.2">
      <c r="A12" s="13" t="s">
        <v>20</v>
      </c>
      <c r="B12" s="13" t="s">
        <v>21</v>
      </c>
      <c r="C12" s="13" t="s">
        <v>22</v>
      </c>
      <c r="D12" s="13" t="s">
        <v>23</v>
      </c>
      <c r="E12" s="13" t="s">
        <v>24</v>
      </c>
    </row>
    <row r="13" spans="1:5" ht="20" customHeight="1" x14ac:dyDescent="0.2">
      <c r="A13" s="12" t="s">
        <v>25</v>
      </c>
      <c r="B13" s="14">
        <v>0.25</v>
      </c>
      <c r="C13" s="14">
        <v>14</v>
      </c>
      <c r="D13" s="15">
        <v>4</v>
      </c>
      <c r="E13" s="15">
        <v>2</v>
      </c>
    </row>
    <row r="14" spans="1:5" ht="20" customHeight="1" x14ac:dyDescent="0.2">
      <c r="A14" s="12" t="s">
        <v>26</v>
      </c>
      <c r="B14" s="14">
        <v>0</v>
      </c>
      <c r="C14" s="14">
        <v>18</v>
      </c>
      <c r="D14" s="15">
        <v>4</v>
      </c>
      <c r="E14" s="15">
        <v>4</v>
      </c>
    </row>
    <row r="16" spans="1:5" x14ac:dyDescent="0.2">
      <c r="A16" s="16" t="s">
        <v>32</v>
      </c>
      <c r="B16" s="16"/>
      <c r="C16" s="16"/>
      <c r="D16" s="16"/>
      <c r="E16" s="16"/>
    </row>
    <row r="17" spans="1:7" x14ac:dyDescent="0.2">
      <c r="A17" s="16" t="s">
        <v>33</v>
      </c>
      <c r="B17" s="16"/>
      <c r="C17" s="16"/>
      <c r="D17" s="16"/>
      <c r="E17" s="16"/>
    </row>
    <row r="18" spans="1:7" x14ac:dyDescent="0.2">
      <c r="A18" s="16" t="s">
        <v>34</v>
      </c>
      <c r="B18" s="16"/>
      <c r="C18" s="16"/>
      <c r="D18" s="16"/>
      <c r="E18" s="16"/>
    </row>
    <row r="19" spans="1:7" x14ac:dyDescent="0.2">
      <c r="A19" s="16" t="s">
        <v>35</v>
      </c>
      <c r="B19" s="16"/>
      <c r="C19" s="16"/>
      <c r="D19" s="16"/>
      <c r="E19" s="16"/>
    </row>
    <row r="21" spans="1:7" x14ac:dyDescent="0.2">
      <c r="A21" s="18" t="s">
        <v>38</v>
      </c>
    </row>
    <row r="22" spans="1:7" x14ac:dyDescent="0.2">
      <c r="A22" s="26" t="s">
        <v>39</v>
      </c>
      <c r="B22" s="26"/>
      <c r="C22" s="26"/>
      <c r="D22" s="26"/>
      <c r="E22" s="26"/>
      <c r="F22" s="26"/>
      <c r="G22" s="26"/>
    </row>
    <row r="23" spans="1:7" ht="48" customHeight="1" x14ac:dyDescent="0.2">
      <c r="A23" s="22" t="s">
        <v>40</v>
      </c>
      <c r="B23" s="22" t="s">
        <v>41</v>
      </c>
      <c r="C23" s="22" t="s">
        <v>42</v>
      </c>
      <c r="D23" s="22" t="s">
        <v>43</v>
      </c>
      <c r="E23" s="22" t="s">
        <v>44</v>
      </c>
      <c r="F23" s="22" t="s">
        <v>45</v>
      </c>
      <c r="G23" s="22" t="s">
        <v>46</v>
      </c>
    </row>
    <row r="24" spans="1:7" ht="20" customHeight="1" x14ac:dyDescent="0.2">
      <c r="A24" s="19">
        <v>1</v>
      </c>
      <c r="B24" s="23">
        <v>14</v>
      </c>
      <c r="C24" s="24">
        <v>4</v>
      </c>
      <c r="D24" s="24">
        <v>2</v>
      </c>
      <c r="E24" s="23">
        <v>18</v>
      </c>
      <c r="F24" s="24">
        <v>4</v>
      </c>
      <c r="G24" s="24">
        <v>4</v>
      </c>
    </row>
    <row r="25" spans="1:7" ht="20" customHeight="1" x14ac:dyDescent="0.2">
      <c r="A25" s="19">
        <v>2</v>
      </c>
      <c r="B25" s="23">
        <v>17.5</v>
      </c>
      <c r="C25" s="24">
        <v>3</v>
      </c>
      <c r="D25" s="24">
        <v>0</v>
      </c>
      <c r="E25" s="23">
        <v>12</v>
      </c>
      <c r="F25" s="24">
        <v>4</v>
      </c>
      <c r="G25" s="24">
        <v>2</v>
      </c>
    </row>
    <row r="26" spans="1:7" ht="20" customHeight="1" x14ac:dyDescent="0.2">
      <c r="A26" s="19">
        <v>3</v>
      </c>
      <c r="B26" s="23">
        <v>-2</v>
      </c>
      <c r="C26" s="24">
        <v>4</v>
      </c>
      <c r="D26" s="24">
        <v>2</v>
      </c>
      <c r="E26" s="23">
        <v>0</v>
      </c>
      <c r="F26" s="24">
        <v>4</v>
      </c>
      <c r="G26" s="24">
        <v>2</v>
      </c>
    </row>
    <row r="27" spans="1:7" ht="20" customHeight="1" x14ac:dyDescent="0.2">
      <c r="A27" s="19">
        <v>4</v>
      </c>
      <c r="B27" s="23">
        <v>18</v>
      </c>
      <c r="C27" s="24">
        <v>2</v>
      </c>
      <c r="D27" s="24">
        <v>2</v>
      </c>
      <c r="E27" s="23">
        <v>20</v>
      </c>
      <c r="F27" s="24">
        <v>2</v>
      </c>
      <c r="G27" s="24">
        <v>2</v>
      </c>
    </row>
    <row r="28" spans="1:7" ht="20" customHeight="1" x14ac:dyDescent="0.2">
      <c r="A28" s="19">
        <v>5</v>
      </c>
      <c r="B28" s="23">
        <v>28</v>
      </c>
      <c r="C28" s="24">
        <v>4</v>
      </c>
      <c r="D28" s="24">
        <v>2</v>
      </c>
      <c r="E28" s="23">
        <v>30</v>
      </c>
      <c r="F28" s="24">
        <v>4</v>
      </c>
      <c r="G28" s="24">
        <v>2</v>
      </c>
    </row>
    <row r="29" spans="1:7" ht="20" customHeight="1" x14ac:dyDescent="0.2">
      <c r="A29" s="19">
        <v>6</v>
      </c>
      <c r="B29" s="23">
        <v>16</v>
      </c>
      <c r="C29" s="24">
        <v>3</v>
      </c>
      <c r="D29" s="24">
        <v>2</v>
      </c>
      <c r="E29" s="23">
        <v>18</v>
      </c>
      <c r="F29" s="24">
        <v>4</v>
      </c>
      <c r="G29" s="24">
        <v>4</v>
      </c>
    </row>
    <row r="30" spans="1:7" ht="20" customHeight="1" x14ac:dyDescent="0.2">
      <c r="A30" s="19">
        <v>7</v>
      </c>
      <c r="B30" s="23">
        <v>19.5</v>
      </c>
      <c r="C30" s="24">
        <v>4</v>
      </c>
      <c r="D30" s="24">
        <v>0</v>
      </c>
      <c r="E30" s="23">
        <v>18</v>
      </c>
      <c r="F30" s="24">
        <v>4</v>
      </c>
      <c r="G30" s="24">
        <v>0</v>
      </c>
    </row>
    <row r="31" spans="1:7" ht="20" customHeight="1" x14ac:dyDescent="0.2">
      <c r="A31" s="19">
        <v>8</v>
      </c>
      <c r="B31" s="23">
        <v>20</v>
      </c>
      <c r="C31" s="24">
        <v>3</v>
      </c>
      <c r="D31" s="24">
        <v>2</v>
      </c>
      <c r="E31" s="23">
        <v>20</v>
      </c>
      <c r="F31" s="24">
        <v>3</v>
      </c>
      <c r="G31" s="24">
        <v>0</v>
      </c>
    </row>
    <row r="32" spans="1:7" ht="20" customHeight="1" x14ac:dyDescent="0.2">
      <c r="A32" s="19">
        <v>9</v>
      </c>
      <c r="B32" s="23">
        <v>25.5</v>
      </c>
      <c r="C32" s="24">
        <v>2</v>
      </c>
      <c r="D32" s="24">
        <v>0</v>
      </c>
      <c r="E32" s="23">
        <v>12</v>
      </c>
      <c r="F32" s="24">
        <v>4</v>
      </c>
      <c r="G32" s="24">
        <v>2</v>
      </c>
    </row>
    <row r="33" spans="1:7" ht="20" customHeight="1" x14ac:dyDescent="0.2">
      <c r="A33" s="19">
        <v>10</v>
      </c>
      <c r="B33" s="23">
        <v>19.5</v>
      </c>
      <c r="C33" s="24">
        <v>4</v>
      </c>
      <c r="D33" s="24">
        <v>4</v>
      </c>
      <c r="E33" s="23">
        <v>22</v>
      </c>
      <c r="F33" s="24">
        <v>10</v>
      </c>
      <c r="G33" s="24">
        <v>10</v>
      </c>
    </row>
    <row r="34" spans="1:7" ht="20" customHeight="1" x14ac:dyDescent="0.2">
      <c r="A34" s="19"/>
      <c r="B34" s="23"/>
      <c r="C34" s="19"/>
      <c r="D34" s="19"/>
      <c r="E34" s="23"/>
      <c r="F34" s="19"/>
      <c r="G34" s="19"/>
    </row>
    <row r="35" spans="1:7" ht="20" customHeight="1" x14ac:dyDescent="0.2">
      <c r="A35" s="20" t="s">
        <v>47</v>
      </c>
      <c r="B35" s="25">
        <f t="shared" ref="B35:G35" si="0">AVERAGE(B24:B33)</f>
        <v>17.600000000000001</v>
      </c>
      <c r="C35" s="25">
        <f t="shared" si="0"/>
        <v>3.3</v>
      </c>
      <c r="D35" s="25">
        <f t="shared" si="0"/>
        <v>1.6</v>
      </c>
      <c r="E35" s="25">
        <f t="shared" si="0"/>
        <v>17</v>
      </c>
      <c r="F35" s="25">
        <f t="shared" si="0"/>
        <v>4.3</v>
      </c>
      <c r="G35" s="25">
        <f t="shared" si="0"/>
        <v>2.8</v>
      </c>
    </row>
    <row r="36" spans="1:7" ht="20" customHeight="1" x14ac:dyDescent="0.2">
      <c r="A36" s="20" t="s">
        <v>48</v>
      </c>
      <c r="B36" s="25">
        <f>MIN(B24:B33)</f>
        <v>-2</v>
      </c>
      <c r="C36" s="20"/>
      <c r="D36" s="20"/>
      <c r="E36" s="25">
        <f>MIN(E24:E33)</f>
        <v>0</v>
      </c>
      <c r="F36" s="20"/>
      <c r="G36" s="20"/>
    </row>
    <row r="38" spans="1:7" x14ac:dyDescent="0.2">
      <c r="A38" s="19" t="s">
        <v>49</v>
      </c>
      <c r="B38" s="19"/>
      <c r="C38" s="19"/>
      <c r="D38" s="19"/>
      <c r="E38" s="23">
        <f>B35-E35</f>
        <v>0.60000000000000142</v>
      </c>
      <c r="F38" s="19"/>
      <c r="G38" s="19"/>
    </row>
    <row r="39" spans="1:7" x14ac:dyDescent="0.2">
      <c r="A39" s="19" t="s">
        <v>50</v>
      </c>
      <c r="B39" s="19"/>
      <c r="C39" s="19"/>
      <c r="D39" s="19"/>
      <c r="E39" s="23">
        <f>C35-F35</f>
        <v>-1</v>
      </c>
      <c r="F39" s="19"/>
      <c r="G39" s="19"/>
    </row>
    <row r="41" spans="1:7" x14ac:dyDescent="0.2">
      <c r="A41" s="26" t="s">
        <v>51</v>
      </c>
      <c r="B41" s="26"/>
      <c r="C41" s="26"/>
      <c r="D41" s="26"/>
      <c r="E41" s="26"/>
      <c r="F41" s="26"/>
      <c r="G41" s="26"/>
    </row>
    <row r="42" spans="1:7" x14ac:dyDescent="0.2">
      <c r="A42" s="26" t="s">
        <v>52</v>
      </c>
      <c r="B42" s="26"/>
      <c r="C42" s="26"/>
      <c r="D42" s="26"/>
      <c r="E42" s="26"/>
      <c r="F42" s="26"/>
      <c r="G42" s="26"/>
    </row>
    <row r="43" spans="1:7" x14ac:dyDescent="0.2">
      <c r="A43" s="26" t="s">
        <v>53</v>
      </c>
      <c r="B43" s="26"/>
      <c r="C43" s="26"/>
      <c r="D43" s="26"/>
      <c r="E43" s="26"/>
      <c r="F43" s="26"/>
      <c r="G43" s="26"/>
    </row>
    <row r="44" spans="1:7" x14ac:dyDescent="0.2">
      <c r="A44" s="26" t="s">
        <v>54</v>
      </c>
      <c r="B44" s="26"/>
      <c r="C44" s="26"/>
      <c r="D44" s="26"/>
      <c r="E44" s="26"/>
      <c r="F44" s="26"/>
      <c r="G44" s="26"/>
    </row>
    <row r="47" spans="1:7" x14ac:dyDescent="0.2">
      <c r="A47" s="18" t="s">
        <v>55</v>
      </c>
    </row>
    <row r="48" spans="1:7" x14ac:dyDescent="0.2">
      <c r="A48" s="26" t="s">
        <v>56</v>
      </c>
    </row>
    <row r="49" spans="1:4" ht="36" customHeight="1" x14ac:dyDescent="0.2">
      <c r="A49" s="21" t="s">
        <v>40</v>
      </c>
      <c r="B49" s="21" t="s">
        <v>7</v>
      </c>
      <c r="C49" s="21" t="s">
        <v>36</v>
      </c>
      <c r="D49" s="21" t="s">
        <v>37</v>
      </c>
    </row>
    <row r="50" spans="1:4" x14ac:dyDescent="0.2">
      <c r="A50" s="24">
        <v>1</v>
      </c>
      <c r="B50" s="24">
        <v>1</v>
      </c>
      <c r="C50" s="27">
        <v>0.86531313196849458</v>
      </c>
      <c r="D50" s="27"/>
    </row>
    <row r="51" spans="1:4" x14ac:dyDescent="0.2">
      <c r="A51" s="24">
        <v>1</v>
      </c>
      <c r="B51" s="24">
        <v>2</v>
      </c>
      <c r="C51" s="27">
        <v>0.64011724086569732</v>
      </c>
      <c r="D51" s="27">
        <v>0.90954156340994308</v>
      </c>
    </row>
    <row r="52" spans="1:4" x14ac:dyDescent="0.2">
      <c r="A52" s="24">
        <v>1</v>
      </c>
      <c r="B52" s="24">
        <v>3</v>
      </c>
      <c r="C52" s="27">
        <v>0.12438850176888838</v>
      </c>
      <c r="D52" s="27">
        <v>0.92301212170655356</v>
      </c>
    </row>
    <row r="53" spans="1:4" x14ac:dyDescent="0.2">
      <c r="A53" s="24">
        <v>1</v>
      </c>
      <c r="B53" s="24">
        <v>4</v>
      </c>
      <c r="C53" s="27">
        <v>0.84135942692659516</v>
      </c>
      <c r="D53" s="27">
        <v>6.360054986192154E-2</v>
      </c>
    </row>
    <row r="54" spans="1:4" x14ac:dyDescent="0.2">
      <c r="A54" s="24">
        <v>1</v>
      </c>
      <c r="B54" s="24">
        <v>5</v>
      </c>
      <c r="C54" s="27">
        <v>0.71365290788009272</v>
      </c>
      <c r="D54" s="27">
        <v>0.22440228119505501</v>
      </c>
    </row>
    <row r="55" spans="1:4" x14ac:dyDescent="0.2">
      <c r="A55" s="24">
        <v>1</v>
      </c>
      <c r="B55" s="24">
        <v>6</v>
      </c>
      <c r="C55" s="27">
        <v>0.30362524670080904</v>
      </c>
      <c r="D55" s="27">
        <v>0.19316853223636343</v>
      </c>
    </row>
    <row r="56" spans="1:4" x14ac:dyDescent="0.2">
      <c r="A56" s="24">
        <v>1</v>
      </c>
      <c r="B56" s="24">
        <v>7</v>
      </c>
      <c r="C56" s="27">
        <v>9.3718639091284972E-2</v>
      </c>
      <c r="D56" s="27">
        <v>0.41341047074152082</v>
      </c>
    </row>
    <row r="57" spans="1:4" x14ac:dyDescent="0.2">
      <c r="A57" s="24">
        <v>1</v>
      </c>
      <c r="B57" s="24">
        <v>8</v>
      </c>
      <c r="C57" s="27">
        <v>0.84880834959812734</v>
      </c>
      <c r="D57" s="27">
        <v>0.2341406807949119</v>
      </c>
    </row>
    <row r="58" spans="1:4" x14ac:dyDescent="0.2">
      <c r="A58" s="24">
        <v>1</v>
      </c>
      <c r="B58" s="24">
        <v>9</v>
      </c>
      <c r="C58" s="27">
        <v>0.96673479387750483</v>
      </c>
      <c r="D58" s="27">
        <v>0.20947234692394423</v>
      </c>
    </row>
    <row r="59" spans="1:4" x14ac:dyDescent="0.2">
      <c r="A59" s="24">
        <v>1</v>
      </c>
      <c r="B59" s="24">
        <v>10</v>
      </c>
      <c r="C59" s="27">
        <v>0.86345052124567945</v>
      </c>
      <c r="D59" s="27">
        <v>0.54733151311428829</v>
      </c>
    </row>
    <row r="60" spans="1:4" x14ac:dyDescent="0.2">
      <c r="A60" s="24">
        <v>1</v>
      </c>
      <c r="B60" s="24">
        <v>11</v>
      </c>
      <c r="C60" s="27">
        <v>0.47606650911542825</v>
      </c>
      <c r="D60" s="27">
        <v>0.3585049967600108</v>
      </c>
    </row>
    <row r="61" spans="1:4" x14ac:dyDescent="0.2">
      <c r="A61" s="24">
        <v>1</v>
      </c>
      <c r="B61" s="24">
        <v>12</v>
      </c>
      <c r="C61" s="27">
        <v>0.72557665287489959</v>
      </c>
      <c r="D61" s="27">
        <v>0.99758805741036416</v>
      </c>
    </row>
    <row r="62" spans="1:4" x14ac:dyDescent="0.2">
      <c r="A62" s="24">
        <v>1</v>
      </c>
      <c r="B62" s="24">
        <v>13</v>
      </c>
      <c r="C62" s="27">
        <v>0.12611745305413002</v>
      </c>
      <c r="D62" s="27">
        <v>0.30562828975030365</v>
      </c>
    </row>
    <row r="63" spans="1:4" x14ac:dyDescent="0.2">
      <c r="A63" s="24">
        <v>1</v>
      </c>
      <c r="B63" s="24">
        <v>14</v>
      </c>
      <c r="C63" s="27">
        <v>0.70624401291294214</v>
      </c>
      <c r="D63" s="27">
        <v>0.79487031424753096</v>
      </c>
    </row>
    <row r="64" spans="1:4" x14ac:dyDescent="0.2">
      <c r="A64" s="24">
        <v>1</v>
      </c>
      <c r="B64" s="24">
        <v>15</v>
      </c>
      <c r="C64" s="27">
        <v>0.31612131204800054</v>
      </c>
      <c r="D64" s="27">
        <v>0.13208647284967134</v>
      </c>
    </row>
    <row r="65" spans="1:4" x14ac:dyDescent="0.2">
      <c r="A65" s="24">
        <v>1</v>
      </c>
      <c r="B65" s="24">
        <v>16</v>
      </c>
      <c r="C65" s="27">
        <v>0.404711188621937</v>
      </c>
      <c r="D65" s="27">
        <v>0.86973061600686585</v>
      </c>
    </row>
    <row r="66" spans="1:4" x14ac:dyDescent="0.2">
      <c r="A66" s="24">
        <v>1</v>
      </c>
      <c r="B66" s="24">
        <v>17</v>
      </c>
      <c r="C66" s="27">
        <v>0.16055895314647062</v>
      </c>
      <c r="D66" s="27">
        <v>0.56148117072646853</v>
      </c>
    </row>
    <row r="67" spans="1:4" x14ac:dyDescent="0.2">
      <c r="A67" s="24">
        <v>1</v>
      </c>
      <c r="B67" s="24">
        <v>18</v>
      </c>
      <c r="C67" s="27">
        <v>0.99457653617347619</v>
      </c>
      <c r="D67" s="27">
        <v>0.47388793914251759</v>
      </c>
    </row>
    <row r="68" spans="1:4" x14ac:dyDescent="0.2">
      <c r="A68" s="24">
        <v>1</v>
      </c>
      <c r="B68" s="24">
        <v>19</v>
      </c>
      <c r="C68" s="27">
        <v>0.56479803056575528</v>
      </c>
      <c r="D68" s="27">
        <v>0.71755769912150913</v>
      </c>
    </row>
    <row r="69" spans="1:4" x14ac:dyDescent="0.2">
      <c r="A69" s="24">
        <v>1</v>
      </c>
      <c r="B69" s="24">
        <v>20</v>
      </c>
      <c r="C69" s="27">
        <v>0.85486491994073532</v>
      </c>
      <c r="D69" s="27">
        <v>0.74633782447015606</v>
      </c>
    </row>
    <row r="70" spans="1:4" x14ac:dyDescent="0.2">
      <c r="A70" s="24">
        <v>2</v>
      </c>
      <c r="B70" s="24">
        <v>1</v>
      </c>
      <c r="C70" s="27">
        <v>0.54830016841236073</v>
      </c>
      <c r="D70" s="27"/>
    </row>
    <row r="71" spans="1:4" x14ac:dyDescent="0.2">
      <c r="A71" s="24">
        <v>2</v>
      </c>
      <c r="B71" s="24">
        <v>2</v>
      </c>
      <c r="C71" s="27">
        <v>0.1849950801011141</v>
      </c>
      <c r="D71" s="27">
        <v>0.56605525448051119</v>
      </c>
    </row>
    <row r="72" spans="1:4" x14ac:dyDescent="0.2">
      <c r="A72" s="24">
        <v>2</v>
      </c>
      <c r="B72" s="24">
        <v>3</v>
      </c>
      <c r="C72" s="27">
        <v>0.40565881360021327</v>
      </c>
      <c r="D72" s="27">
        <v>8.911292332957077E-2</v>
      </c>
    </row>
    <row r="73" spans="1:4" x14ac:dyDescent="0.2">
      <c r="A73" s="24">
        <v>2</v>
      </c>
      <c r="B73" s="24">
        <v>4</v>
      </c>
      <c r="C73" s="27">
        <v>0.16767256075062764</v>
      </c>
      <c r="D73" s="27">
        <v>0.28269562795704672</v>
      </c>
    </row>
    <row r="74" spans="1:4" x14ac:dyDescent="0.2">
      <c r="A74" s="24">
        <v>2</v>
      </c>
      <c r="B74" s="24">
        <v>5</v>
      </c>
      <c r="C74" s="27">
        <v>0.79795557328021161</v>
      </c>
      <c r="D74" s="27">
        <v>7.4764934387495652E-3</v>
      </c>
    </row>
    <row r="75" spans="1:4" x14ac:dyDescent="0.2">
      <c r="A75" s="24">
        <v>2</v>
      </c>
      <c r="B75" s="24">
        <v>6</v>
      </c>
      <c r="C75" s="27">
        <v>0.4408876404417551</v>
      </c>
      <c r="D75" s="27">
        <v>0.9861533296132774</v>
      </c>
    </row>
    <row r="76" spans="1:4" x14ac:dyDescent="0.2">
      <c r="A76" s="24">
        <v>2</v>
      </c>
      <c r="B76" s="24">
        <v>7</v>
      </c>
      <c r="C76" s="27">
        <v>0.84015302897893673</v>
      </c>
      <c r="D76" s="27">
        <v>0.31297381851256378</v>
      </c>
    </row>
    <row r="77" spans="1:4" x14ac:dyDescent="0.2">
      <c r="A77" s="24">
        <v>2</v>
      </c>
      <c r="B77" s="24">
        <v>8</v>
      </c>
      <c r="C77" s="27">
        <v>3.961809628252011E-2</v>
      </c>
      <c r="D77" s="27">
        <v>0.16459459359077122</v>
      </c>
    </row>
    <row r="78" spans="1:4" x14ac:dyDescent="0.2">
      <c r="A78" s="24">
        <v>2</v>
      </c>
      <c r="B78" s="24">
        <v>9</v>
      </c>
      <c r="C78" s="27">
        <v>0.88583746550737463</v>
      </c>
      <c r="D78" s="27">
        <v>0.90315492313088774</v>
      </c>
    </row>
    <row r="79" spans="1:4" x14ac:dyDescent="0.2">
      <c r="A79" s="24">
        <v>2</v>
      </c>
      <c r="B79" s="24">
        <v>10</v>
      </c>
      <c r="C79" s="27">
        <v>2.8846733039903594E-2</v>
      </c>
      <c r="D79" s="27">
        <v>0.24276530146435515</v>
      </c>
    </row>
    <row r="80" spans="1:4" x14ac:dyDescent="0.2">
      <c r="A80" s="24">
        <v>2</v>
      </c>
      <c r="B80" s="24">
        <v>11</v>
      </c>
      <c r="C80" s="27">
        <v>0.16367731069285374</v>
      </c>
      <c r="D80" s="27">
        <v>0.81705081846057426</v>
      </c>
    </row>
    <row r="81" spans="1:4" x14ac:dyDescent="0.2">
      <c r="A81" s="24">
        <v>2</v>
      </c>
      <c r="B81" s="24">
        <v>12</v>
      </c>
      <c r="C81" s="27">
        <v>0.41127947336137183</v>
      </c>
      <c r="D81" s="27">
        <v>4.0964710270128157E-2</v>
      </c>
    </row>
    <row r="82" spans="1:4" x14ac:dyDescent="0.2">
      <c r="A82" s="24">
        <v>2</v>
      </c>
      <c r="B82" s="24">
        <v>13</v>
      </c>
      <c r="C82" s="27">
        <v>0.80680269661731263</v>
      </c>
      <c r="D82" s="27">
        <v>0.94625331900046294</v>
      </c>
    </row>
    <row r="83" spans="1:4" x14ac:dyDescent="0.2">
      <c r="A83" s="24">
        <v>2</v>
      </c>
      <c r="B83" s="24">
        <v>14</v>
      </c>
      <c r="C83" s="27">
        <v>0.68277001801712567</v>
      </c>
      <c r="D83" s="27">
        <v>0.90689123441458463</v>
      </c>
    </row>
    <row r="84" spans="1:4" x14ac:dyDescent="0.2">
      <c r="A84" s="24">
        <v>2</v>
      </c>
      <c r="B84" s="24">
        <v>15</v>
      </c>
      <c r="C84" s="27">
        <v>0.12029820612855224</v>
      </c>
      <c r="D84" s="27">
        <v>0.37550514667004864</v>
      </c>
    </row>
    <row r="85" spans="1:4" x14ac:dyDescent="0.2">
      <c r="A85" s="24">
        <v>2</v>
      </c>
      <c r="B85" s="24">
        <v>16</v>
      </c>
      <c r="C85" s="27">
        <v>0.72590268607230446</v>
      </c>
      <c r="D85" s="27">
        <v>0.41220544350849075</v>
      </c>
    </row>
    <row r="86" spans="1:4" x14ac:dyDescent="0.2">
      <c r="A86" s="24">
        <v>2</v>
      </c>
      <c r="B86" s="24">
        <v>17</v>
      </c>
      <c r="C86" s="27">
        <v>0.26321721542304488</v>
      </c>
      <c r="D86" s="27">
        <v>0.76400813934990031</v>
      </c>
    </row>
    <row r="87" spans="1:4" x14ac:dyDescent="0.2">
      <c r="A87" s="24">
        <v>2</v>
      </c>
      <c r="B87" s="24">
        <v>18</v>
      </c>
      <c r="C87" s="27">
        <v>0.40040595653325028</v>
      </c>
      <c r="D87" s="27">
        <v>0.77400987418802247</v>
      </c>
    </row>
    <row r="88" spans="1:4" x14ac:dyDescent="0.2">
      <c r="A88" s="24">
        <v>2</v>
      </c>
      <c r="B88" s="24">
        <v>19</v>
      </c>
      <c r="C88" s="27">
        <v>0.83447694045639853</v>
      </c>
      <c r="D88" s="27">
        <v>0.60941464905238674</v>
      </c>
    </row>
    <row r="89" spans="1:4" x14ac:dyDescent="0.2">
      <c r="A89" s="24">
        <v>2</v>
      </c>
      <c r="B89" s="24">
        <v>20</v>
      </c>
      <c r="C89" s="27">
        <v>0.90460411678439689</v>
      </c>
      <c r="D89" s="27">
        <v>0.76925416234531863</v>
      </c>
    </row>
    <row r="90" spans="1:4" x14ac:dyDescent="0.2">
      <c r="A90" s="24">
        <v>3</v>
      </c>
      <c r="B90" s="24">
        <v>1</v>
      </c>
      <c r="C90" s="27">
        <v>0.72726796695742413</v>
      </c>
      <c r="D90" s="27"/>
    </row>
    <row r="91" spans="1:4" x14ac:dyDescent="0.2">
      <c r="A91" s="24">
        <v>3</v>
      </c>
      <c r="B91" s="24">
        <v>2</v>
      </c>
      <c r="C91" s="27">
        <v>0.75185784638246944</v>
      </c>
      <c r="D91" s="27">
        <v>0.39551583655911327</v>
      </c>
    </row>
    <row r="92" spans="1:4" x14ac:dyDescent="0.2">
      <c r="A92" s="24">
        <v>3</v>
      </c>
      <c r="B92" s="24">
        <v>3</v>
      </c>
      <c r="C92" s="27">
        <v>0.49458098634769709</v>
      </c>
      <c r="D92" s="27">
        <v>0.47444907756950472</v>
      </c>
    </row>
    <row r="93" spans="1:4" x14ac:dyDescent="0.2">
      <c r="A93" s="24">
        <v>3</v>
      </c>
      <c r="B93" s="24">
        <v>4</v>
      </c>
      <c r="C93" s="27">
        <v>0.99324169784145933</v>
      </c>
      <c r="D93" s="27">
        <v>0.25229756377556012</v>
      </c>
    </row>
    <row r="94" spans="1:4" x14ac:dyDescent="0.2">
      <c r="A94" s="24">
        <v>3</v>
      </c>
      <c r="B94" s="24">
        <v>5</v>
      </c>
      <c r="C94" s="27">
        <v>0.42295562318641799</v>
      </c>
      <c r="D94" s="27">
        <v>0.87846539588812289</v>
      </c>
    </row>
    <row r="95" spans="1:4" x14ac:dyDescent="0.2">
      <c r="A95" s="24">
        <v>3</v>
      </c>
      <c r="B95" s="24">
        <v>6</v>
      </c>
      <c r="C95" s="27">
        <v>0.21424933003894631</v>
      </c>
      <c r="D95" s="27">
        <v>0.28814648544027111</v>
      </c>
    </row>
    <row r="96" spans="1:4" x14ac:dyDescent="0.2">
      <c r="A96" s="24">
        <v>3</v>
      </c>
      <c r="B96" s="24">
        <v>7</v>
      </c>
      <c r="C96" s="27">
        <v>0.35726523488537376</v>
      </c>
      <c r="D96" s="27">
        <v>2.4528227469572061E-2</v>
      </c>
    </row>
    <row r="97" spans="1:4" x14ac:dyDescent="0.2">
      <c r="A97" s="24">
        <v>3</v>
      </c>
      <c r="B97" s="24">
        <v>8</v>
      </c>
      <c r="C97" s="27">
        <v>0.35325017187662333</v>
      </c>
      <c r="D97" s="27">
        <v>0.13316696024334063</v>
      </c>
    </row>
    <row r="98" spans="1:4" x14ac:dyDescent="0.2">
      <c r="A98" s="24">
        <v>3</v>
      </c>
      <c r="B98" s="24">
        <v>9</v>
      </c>
      <c r="C98" s="27">
        <v>0.17757560891685864</v>
      </c>
      <c r="D98" s="27">
        <v>0.90503403724889697</v>
      </c>
    </row>
    <row r="99" spans="1:4" x14ac:dyDescent="0.2">
      <c r="A99" s="24">
        <v>3</v>
      </c>
      <c r="B99" s="24">
        <v>10</v>
      </c>
      <c r="C99" s="27">
        <v>0.73526785296003638</v>
      </c>
      <c r="D99" s="27">
        <v>0.92729558458843464</v>
      </c>
    </row>
    <row r="100" spans="1:4" x14ac:dyDescent="0.2">
      <c r="A100" s="24">
        <v>3</v>
      </c>
      <c r="B100" s="24">
        <v>11</v>
      </c>
      <c r="C100" s="27">
        <v>0.53213251822766561</v>
      </c>
      <c r="D100" s="27">
        <v>0.85162780473037814</v>
      </c>
    </row>
    <row r="101" spans="1:4" x14ac:dyDescent="0.2">
      <c r="A101" s="24">
        <v>3</v>
      </c>
      <c r="B101" s="24">
        <v>12</v>
      </c>
      <c r="C101" s="27">
        <v>0.86646531979912089</v>
      </c>
      <c r="D101" s="27">
        <v>0.70390969669835668</v>
      </c>
    </row>
    <row r="102" spans="1:4" x14ac:dyDescent="0.2">
      <c r="A102" s="24">
        <v>3</v>
      </c>
      <c r="B102" s="24">
        <v>13</v>
      </c>
      <c r="C102" s="27">
        <v>0.73066209950409433</v>
      </c>
      <c r="D102" s="27">
        <v>0.42699670953281255</v>
      </c>
    </row>
    <row r="103" spans="1:4" x14ac:dyDescent="0.2">
      <c r="A103" s="24">
        <v>3</v>
      </c>
      <c r="B103" s="24">
        <v>14</v>
      </c>
      <c r="C103" s="27">
        <v>0.99785120491127433</v>
      </c>
      <c r="D103" s="27">
        <v>0.32056516940820279</v>
      </c>
    </row>
    <row r="104" spans="1:4" x14ac:dyDescent="0.2">
      <c r="A104" s="24">
        <v>3</v>
      </c>
      <c r="B104" s="24">
        <v>15</v>
      </c>
      <c r="C104" s="27">
        <v>0.44610359813029632</v>
      </c>
      <c r="D104" s="27">
        <v>0.43740180910145932</v>
      </c>
    </row>
    <row r="105" spans="1:4" x14ac:dyDescent="0.2">
      <c r="A105" s="24">
        <v>3</v>
      </c>
      <c r="B105" s="24">
        <v>16</v>
      </c>
      <c r="C105" s="27">
        <v>0.90449636187555316</v>
      </c>
      <c r="D105" s="27">
        <v>0.85180162261288628</v>
      </c>
    </row>
    <row r="106" spans="1:4" x14ac:dyDescent="0.2">
      <c r="A106" s="24">
        <v>3</v>
      </c>
      <c r="B106" s="24">
        <v>17</v>
      </c>
      <c r="C106" s="27">
        <v>0.72425701321918734</v>
      </c>
      <c r="D106" s="27">
        <v>0.93886938955960741</v>
      </c>
    </row>
    <row r="107" spans="1:4" x14ac:dyDescent="0.2">
      <c r="A107" s="24">
        <v>3</v>
      </c>
      <c r="B107" s="24">
        <v>18</v>
      </c>
      <c r="C107" s="27">
        <v>0.73277221873854681</v>
      </c>
      <c r="D107" s="27">
        <v>0.26588576206829762</v>
      </c>
    </row>
    <row r="108" spans="1:4" x14ac:dyDescent="0.2">
      <c r="A108" s="24">
        <v>3</v>
      </c>
      <c r="B108" s="24">
        <v>19</v>
      </c>
      <c r="C108" s="27">
        <v>0.39501922199615114</v>
      </c>
      <c r="D108" s="27">
        <v>0.43349466970803852</v>
      </c>
    </row>
    <row r="109" spans="1:4" x14ac:dyDescent="0.2">
      <c r="A109" s="24">
        <v>3</v>
      </c>
      <c r="B109" s="24">
        <v>20</v>
      </c>
      <c r="C109" s="27">
        <v>0.31186384771569542</v>
      </c>
      <c r="D109" s="27">
        <v>0.36181777263224224</v>
      </c>
    </row>
    <row r="110" spans="1:4" x14ac:dyDescent="0.2">
      <c r="A110" s="24">
        <v>4</v>
      </c>
      <c r="B110" s="24">
        <v>1</v>
      </c>
      <c r="C110" s="27">
        <v>0.69006270309635476</v>
      </c>
      <c r="D110" s="27"/>
    </row>
    <row r="111" spans="1:4" x14ac:dyDescent="0.2">
      <c r="A111" s="24">
        <v>4</v>
      </c>
      <c r="B111" s="24">
        <v>2</v>
      </c>
      <c r="C111" s="27">
        <v>0.15678968791661241</v>
      </c>
      <c r="D111" s="27">
        <v>0.81825589111686436</v>
      </c>
    </row>
    <row r="112" spans="1:4" x14ac:dyDescent="0.2">
      <c r="A112" s="24">
        <v>4</v>
      </c>
      <c r="B112" s="24">
        <v>3</v>
      </c>
      <c r="C112" s="27">
        <v>0.5140901546440062</v>
      </c>
      <c r="D112" s="27">
        <v>0.39539069667309135</v>
      </c>
    </row>
    <row r="113" spans="1:4" x14ac:dyDescent="0.2">
      <c r="A113" s="24">
        <v>4</v>
      </c>
      <c r="B113" s="24">
        <v>4</v>
      </c>
      <c r="C113" s="27">
        <v>0.10294350324491197</v>
      </c>
      <c r="D113" s="27">
        <v>0.6754732246825963</v>
      </c>
    </row>
    <row r="114" spans="1:4" x14ac:dyDescent="0.2">
      <c r="A114" s="24">
        <v>4</v>
      </c>
      <c r="B114" s="24">
        <v>5</v>
      </c>
      <c r="C114" s="27">
        <v>0.41065298806854822</v>
      </c>
      <c r="D114" s="27">
        <v>0.84662688590365887</v>
      </c>
    </row>
    <row r="115" spans="1:4" x14ac:dyDescent="0.2">
      <c r="A115" s="24">
        <v>4</v>
      </c>
      <c r="B115" s="24">
        <v>6</v>
      </c>
      <c r="C115" s="27">
        <v>0.82118840574425456</v>
      </c>
      <c r="D115" s="27">
        <v>0.58243094445300725</v>
      </c>
    </row>
    <row r="116" spans="1:4" x14ac:dyDescent="0.2">
      <c r="A116" s="24">
        <v>4</v>
      </c>
      <c r="B116" s="24">
        <v>7</v>
      </c>
      <c r="C116" s="27">
        <v>0.91368714859494371</v>
      </c>
      <c r="D116" s="27">
        <v>7.1989223265515934E-2</v>
      </c>
    </row>
    <row r="117" spans="1:4" x14ac:dyDescent="0.2">
      <c r="A117" s="24">
        <v>4</v>
      </c>
      <c r="B117" s="24">
        <v>8</v>
      </c>
      <c r="C117" s="27">
        <v>0.89649961812918055</v>
      </c>
      <c r="D117" s="27">
        <v>0.70660319345986011</v>
      </c>
    </row>
    <row r="118" spans="1:4" x14ac:dyDescent="0.2">
      <c r="A118" s="24">
        <v>4</v>
      </c>
      <c r="B118" s="24">
        <v>9</v>
      </c>
      <c r="C118" s="27">
        <v>0.107653986620173</v>
      </c>
      <c r="D118" s="27">
        <v>0.54336621499589843</v>
      </c>
    </row>
    <row r="119" spans="1:4" x14ac:dyDescent="0.2">
      <c r="A119" s="24">
        <v>4</v>
      </c>
      <c r="B119" s="24">
        <v>10</v>
      </c>
      <c r="C119" s="27">
        <v>0.7738875411792554</v>
      </c>
      <c r="D119" s="27">
        <v>0.92153106074070679</v>
      </c>
    </row>
    <row r="120" spans="1:4" x14ac:dyDescent="0.2">
      <c r="A120" s="24">
        <v>4</v>
      </c>
      <c r="B120" s="24">
        <v>11</v>
      </c>
      <c r="C120" s="27">
        <v>0.41452416384055213</v>
      </c>
      <c r="D120" s="27">
        <v>0.22437767382434259</v>
      </c>
    </row>
    <row r="121" spans="1:4" x14ac:dyDescent="0.2">
      <c r="A121" s="24">
        <v>4</v>
      </c>
      <c r="B121" s="24">
        <v>12</v>
      </c>
      <c r="C121" s="27">
        <v>0.17273801576065761</v>
      </c>
      <c r="D121" s="27">
        <v>0.38385470996855431</v>
      </c>
    </row>
    <row r="122" spans="1:4" x14ac:dyDescent="0.2">
      <c r="A122" s="24">
        <v>4</v>
      </c>
      <c r="B122" s="24">
        <v>13</v>
      </c>
      <c r="C122" s="27">
        <v>3.6527670685344349E-2</v>
      </c>
      <c r="D122" s="27">
        <v>0.71117340644518046</v>
      </c>
    </row>
    <row r="123" spans="1:4" x14ac:dyDescent="0.2">
      <c r="A123" s="24">
        <v>4</v>
      </c>
      <c r="B123" s="24">
        <v>14</v>
      </c>
      <c r="C123" s="27">
        <v>0.75123797598710162</v>
      </c>
      <c r="D123" s="27">
        <v>0.96014906537134648</v>
      </c>
    </row>
    <row r="124" spans="1:4" x14ac:dyDescent="0.2">
      <c r="A124" s="24">
        <v>4</v>
      </c>
      <c r="B124" s="24">
        <v>15</v>
      </c>
      <c r="C124" s="27">
        <v>0.72347884636347004</v>
      </c>
      <c r="D124" s="27">
        <v>0.16048960892448294</v>
      </c>
    </row>
    <row r="125" spans="1:4" x14ac:dyDescent="0.2">
      <c r="A125" s="24">
        <v>4</v>
      </c>
      <c r="B125" s="24">
        <v>16</v>
      </c>
      <c r="C125" s="27">
        <v>0.10382776145798855</v>
      </c>
      <c r="D125" s="27">
        <v>0.10585376981334693</v>
      </c>
    </row>
    <row r="126" spans="1:4" x14ac:dyDescent="0.2">
      <c r="A126" s="24">
        <v>4</v>
      </c>
      <c r="B126" s="24">
        <v>17</v>
      </c>
      <c r="C126" s="27">
        <v>8.0252851902959388E-2</v>
      </c>
      <c r="D126" s="27">
        <v>9.945534415580104E-3</v>
      </c>
    </row>
    <row r="127" spans="1:4" x14ac:dyDescent="0.2">
      <c r="A127" s="24">
        <v>4</v>
      </c>
      <c r="B127" s="24">
        <v>18</v>
      </c>
      <c r="C127" s="27">
        <v>0.98656808704385857</v>
      </c>
      <c r="D127" s="27">
        <v>0.39200049535584369</v>
      </c>
    </row>
    <row r="128" spans="1:4" x14ac:dyDescent="0.2">
      <c r="A128" s="24">
        <v>4</v>
      </c>
      <c r="B128" s="24">
        <v>19</v>
      </c>
      <c r="C128" s="27">
        <v>2.3329149050638209E-3</v>
      </c>
      <c r="D128" s="27">
        <v>0.263722079490603</v>
      </c>
    </row>
    <row r="129" spans="1:4" x14ac:dyDescent="0.2">
      <c r="A129" s="24">
        <v>4</v>
      </c>
      <c r="B129" s="24">
        <v>20</v>
      </c>
      <c r="C129" s="27">
        <v>0.23407480492363453</v>
      </c>
      <c r="D129" s="27">
        <v>0.71135003201644353</v>
      </c>
    </row>
    <row r="130" spans="1:4" x14ac:dyDescent="0.2">
      <c r="A130" s="24">
        <v>5</v>
      </c>
      <c r="B130" s="24">
        <v>1</v>
      </c>
      <c r="C130" s="27">
        <v>0.32452161914966926</v>
      </c>
      <c r="D130" s="27"/>
    </row>
    <row r="131" spans="1:4" x14ac:dyDescent="0.2">
      <c r="A131" s="24">
        <v>5</v>
      </c>
      <c r="B131" s="24">
        <v>2</v>
      </c>
      <c r="C131" s="27">
        <v>0.60814970668991464</v>
      </c>
      <c r="D131" s="27">
        <v>0.38021148858563314</v>
      </c>
    </row>
    <row r="132" spans="1:4" x14ac:dyDescent="0.2">
      <c r="A132" s="24">
        <v>5</v>
      </c>
      <c r="B132" s="24">
        <v>3</v>
      </c>
      <c r="C132" s="27">
        <v>0.46480533399418322</v>
      </c>
      <c r="D132" s="27">
        <v>0.23983453241855246</v>
      </c>
    </row>
    <row r="133" spans="1:4" x14ac:dyDescent="0.2">
      <c r="A133" s="24">
        <v>5</v>
      </c>
      <c r="B133" s="24">
        <v>4</v>
      </c>
      <c r="C133" s="27">
        <v>0.24296531983468528</v>
      </c>
      <c r="D133" s="27">
        <v>0.71646415225835558</v>
      </c>
    </row>
    <row r="134" spans="1:4" x14ac:dyDescent="0.2">
      <c r="A134" s="24">
        <v>5</v>
      </c>
      <c r="B134" s="24">
        <v>5</v>
      </c>
      <c r="C134" s="27">
        <v>0.85914463701056987</v>
      </c>
      <c r="D134" s="27">
        <v>0.32214913911572685</v>
      </c>
    </row>
    <row r="135" spans="1:4" x14ac:dyDescent="0.2">
      <c r="A135" s="24">
        <v>5</v>
      </c>
      <c r="B135" s="24">
        <v>6</v>
      </c>
      <c r="C135" s="27">
        <v>0.81780829494810969</v>
      </c>
      <c r="D135" s="27">
        <v>0.37105318714618496</v>
      </c>
    </row>
    <row r="136" spans="1:4" x14ac:dyDescent="0.2">
      <c r="A136" s="24">
        <v>5</v>
      </c>
      <c r="B136" s="24">
        <v>7</v>
      </c>
      <c r="C136" s="27">
        <v>0.23842957226355743</v>
      </c>
      <c r="D136" s="27">
        <v>0.95033133020823912</v>
      </c>
    </row>
    <row r="137" spans="1:4" x14ac:dyDescent="0.2">
      <c r="A137" s="24">
        <v>5</v>
      </c>
      <c r="B137" s="24">
        <v>8</v>
      </c>
      <c r="C137" s="27">
        <v>0.25478585689331701</v>
      </c>
      <c r="D137" s="27">
        <v>0.62354706266667015</v>
      </c>
    </row>
    <row r="138" spans="1:4" x14ac:dyDescent="0.2">
      <c r="A138" s="24">
        <v>5</v>
      </c>
      <c r="B138" s="24">
        <v>9</v>
      </c>
      <c r="C138" s="27">
        <v>0.57563268366455755</v>
      </c>
      <c r="D138" s="27">
        <v>8.3901147240419416E-3</v>
      </c>
    </row>
    <row r="139" spans="1:4" x14ac:dyDescent="0.2">
      <c r="A139" s="24">
        <v>5</v>
      </c>
      <c r="B139" s="24">
        <v>10</v>
      </c>
      <c r="C139" s="27">
        <v>2.8096656002519316E-2</v>
      </c>
      <c r="D139" s="27">
        <v>0.78760019882879406</v>
      </c>
    </row>
    <row r="140" spans="1:4" x14ac:dyDescent="0.2">
      <c r="A140" s="24">
        <v>5</v>
      </c>
      <c r="B140" s="24">
        <v>11</v>
      </c>
      <c r="C140" s="27">
        <v>0.80663625619856527</v>
      </c>
      <c r="D140" s="27">
        <v>0.82071233988905357</v>
      </c>
    </row>
    <row r="141" spans="1:4" x14ac:dyDescent="0.2">
      <c r="A141" s="24">
        <v>5</v>
      </c>
      <c r="B141" s="24">
        <v>12</v>
      </c>
      <c r="C141" s="27">
        <v>0.29219252034753074</v>
      </c>
      <c r="D141" s="27">
        <v>0.86986264823146775</v>
      </c>
    </row>
    <row r="142" spans="1:4" x14ac:dyDescent="0.2">
      <c r="A142" s="24">
        <v>5</v>
      </c>
      <c r="B142" s="24">
        <v>13</v>
      </c>
      <c r="C142" s="27">
        <v>0.29263935161131649</v>
      </c>
      <c r="D142" s="27">
        <v>0.82910345166871757</v>
      </c>
    </row>
    <row r="143" spans="1:4" x14ac:dyDescent="0.2">
      <c r="A143" s="24">
        <v>5</v>
      </c>
      <c r="B143" s="24">
        <v>14</v>
      </c>
      <c r="C143" s="27">
        <v>0.95767569032150446</v>
      </c>
      <c r="D143" s="27">
        <v>0.17738964013940406</v>
      </c>
    </row>
    <row r="144" spans="1:4" x14ac:dyDescent="0.2">
      <c r="A144" s="24">
        <v>5</v>
      </c>
      <c r="B144" s="24">
        <v>15</v>
      </c>
      <c r="C144" s="27">
        <v>0.13315100867136609</v>
      </c>
      <c r="D144" s="27">
        <v>0.26418503864381704</v>
      </c>
    </row>
    <row r="145" spans="1:4" x14ac:dyDescent="0.2">
      <c r="A145" s="24">
        <v>5</v>
      </c>
      <c r="B145" s="24">
        <v>16</v>
      </c>
      <c r="C145" s="27">
        <v>0.58956113542266853</v>
      </c>
      <c r="D145" s="27">
        <v>0.12011056415109544</v>
      </c>
    </row>
    <row r="146" spans="1:4" x14ac:dyDescent="0.2">
      <c r="A146" s="24">
        <v>5</v>
      </c>
      <c r="B146" s="24">
        <v>17</v>
      </c>
      <c r="C146" s="27">
        <v>0.25376891533585444</v>
      </c>
      <c r="D146" s="27">
        <v>0.16951268468109459</v>
      </c>
    </row>
    <row r="147" spans="1:4" x14ac:dyDescent="0.2">
      <c r="A147" s="24">
        <v>5</v>
      </c>
      <c r="B147" s="24">
        <v>18</v>
      </c>
      <c r="C147" s="27">
        <v>0.23263322449605306</v>
      </c>
      <c r="D147" s="27">
        <v>0.45035770841059553</v>
      </c>
    </row>
    <row r="148" spans="1:4" x14ac:dyDescent="0.2">
      <c r="A148" s="24">
        <v>5</v>
      </c>
      <c r="B148" s="24">
        <v>19</v>
      </c>
      <c r="C148" s="27">
        <v>0.99794429727328215</v>
      </c>
      <c r="D148" s="27">
        <v>0.70661317407802704</v>
      </c>
    </row>
    <row r="149" spans="1:4" x14ac:dyDescent="0.2">
      <c r="A149" s="24">
        <v>5</v>
      </c>
      <c r="B149" s="24">
        <v>20</v>
      </c>
      <c r="C149" s="27">
        <v>0.73694008233160269</v>
      </c>
      <c r="D149" s="27">
        <v>0.20165788577565469</v>
      </c>
    </row>
    <row r="150" spans="1:4" x14ac:dyDescent="0.2">
      <c r="A150" s="24">
        <v>6</v>
      </c>
      <c r="B150" s="24">
        <v>1</v>
      </c>
      <c r="C150" s="27">
        <v>0.69185068756294699</v>
      </c>
      <c r="D150" s="27"/>
    </row>
    <row r="151" spans="1:4" x14ac:dyDescent="0.2">
      <c r="A151" s="24">
        <v>6</v>
      </c>
      <c r="B151" s="24">
        <v>2</v>
      </c>
      <c r="C151" s="27">
        <v>0.57551205988871446</v>
      </c>
      <c r="D151" s="27">
        <v>0.94384433688403935</v>
      </c>
    </row>
    <row r="152" spans="1:4" x14ac:dyDescent="0.2">
      <c r="A152" s="24">
        <v>6</v>
      </c>
      <c r="B152" s="24">
        <v>3</v>
      </c>
      <c r="C152" s="27">
        <v>0.86502659285101435</v>
      </c>
      <c r="D152" s="27">
        <v>0.37914030461006487</v>
      </c>
    </row>
    <row r="153" spans="1:4" x14ac:dyDescent="0.2">
      <c r="A153" s="24">
        <v>6</v>
      </c>
      <c r="B153" s="24">
        <v>4</v>
      </c>
      <c r="C153" s="27">
        <v>0.15655701151008972</v>
      </c>
      <c r="D153" s="27">
        <v>0.75990180023696352</v>
      </c>
    </row>
    <row r="154" spans="1:4" x14ac:dyDescent="0.2">
      <c r="A154" s="24">
        <v>6</v>
      </c>
      <c r="B154" s="24">
        <v>5</v>
      </c>
      <c r="C154" s="27">
        <v>0.98775363421630114</v>
      </c>
      <c r="D154" s="27">
        <v>0.17397768006440018</v>
      </c>
    </row>
    <row r="155" spans="1:4" x14ac:dyDescent="0.2">
      <c r="A155" s="24">
        <v>6</v>
      </c>
      <c r="B155" s="24">
        <v>6</v>
      </c>
      <c r="C155" s="27">
        <v>7.941290764846809E-2</v>
      </c>
      <c r="D155" s="27">
        <v>0.16636082743895897</v>
      </c>
    </row>
    <row r="156" spans="1:4" x14ac:dyDescent="0.2">
      <c r="A156" s="24">
        <v>6</v>
      </c>
      <c r="B156" s="24">
        <v>7</v>
      </c>
      <c r="C156" s="27">
        <v>0.29410655971866062</v>
      </c>
      <c r="D156" s="27">
        <v>0.67503031101950317</v>
      </c>
    </row>
    <row r="157" spans="1:4" x14ac:dyDescent="0.2">
      <c r="A157" s="24">
        <v>6</v>
      </c>
      <c r="B157" s="24">
        <v>8</v>
      </c>
      <c r="C157" s="27">
        <v>0.30657649850233404</v>
      </c>
      <c r="D157" s="27">
        <v>0.46845888425922211</v>
      </c>
    </row>
    <row r="158" spans="1:4" x14ac:dyDescent="0.2">
      <c r="A158" s="24">
        <v>6</v>
      </c>
      <c r="B158" s="24">
        <v>9</v>
      </c>
      <c r="C158" s="27">
        <v>3.6772137669188631E-2</v>
      </c>
      <c r="D158" s="27">
        <v>0.77127803783552207</v>
      </c>
    </row>
    <row r="159" spans="1:4" x14ac:dyDescent="0.2">
      <c r="A159" s="24">
        <v>6</v>
      </c>
      <c r="B159" s="24">
        <v>10</v>
      </c>
      <c r="C159" s="27">
        <v>0.61411605502641475</v>
      </c>
      <c r="D159" s="27">
        <v>0.87772206318308588</v>
      </c>
    </row>
    <row r="160" spans="1:4" x14ac:dyDescent="0.2">
      <c r="A160" s="24">
        <v>6</v>
      </c>
      <c r="B160" s="24">
        <v>11</v>
      </c>
      <c r="C160" s="27">
        <v>0.39052033035518918</v>
      </c>
      <c r="D160" s="27">
        <v>0.82840024764668119</v>
      </c>
    </row>
    <row r="161" spans="1:4" x14ac:dyDescent="0.2">
      <c r="A161" s="24">
        <v>6</v>
      </c>
      <c r="B161" s="24">
        <v>12</v>
      </c>
      <c r="C161" s="27">
        <v>0.95621884335772611</v>
      </c>
      <c r="D161" s="27">
        <v>0.69086975068171452</v>
      </c>
    </row>
    <row r="162" spans="1:4" x14ac:dyDescent="0.2">
      <c r="A162" s="24">
        <v>6</v>
      </c>
      <c r="B162" s="24">
        <v>13</v>
      </c>
      <c r="C162" s="27">
        <v>0.81317451927974682</v>
      </c>
      <c r="D162" s="27">
        <v>0.51338170824254392</v>
      </c>
    </row>
    <row r="163" spans="1:4" x14ac:dyDescent="0.2">
      <c r="A163" s="24">
        <v>6</v>
      </c>
      <c r="B163" s="24">
        <v>14</v>
      </c>
      <c r="C163" s="27">
        <v>0.35912519648494001</v>
      </c>
      <c r="D163" s="27">
        <v>0.36649053468573722</v>
      </c>
    </row>
    <row r="164" spans="1:4" x14ac:dyDescent="0.2">
      <c r="A164" s="24">
        <v>6</v>
      </c>
      <c r="B164" s="24">
        <v>15</v>
      </c>
      <c r="C164" s="27">
        <v>0.84787551444161924</v>
      </c>
      <c r="D164" s="27">
        <v>0.91458382672303307</v>
      </c>
    </row>
    <row r="165" spans="1:4" x14ac:dyDescent="0.2">
      <c r="A165" s="24">
        <v>6</v>
      </c>
      <c r="B165" s="24">
        <v>16</v>
      </c>
      <c r="C165" s="27">
        <v>0.76755860756207683</v>
      </c>
      <c r="D165" s="27">
        <v>0.6830778239201668</v>
      </c>
    </row>
    <row r="166" spans="1:4" x14ac:dyDescent="0.2">
      <c r="A166" s="24">
        <v>6</v>
      </c>
      <c r="B166" s="24">
        <v>17</v>
      </c>
      <c r="C166" s="27">
        <v>0.64792820470478185</v>
      </c>
      <c r="D166" s="27">
        <v>0.13566606039099405</v>
      </c>
    </row>
    <row r="167" spans="1:4" x14ac:dyDescent="0.2">
      <c r="A167" s="24">
        <v>6</v>
      </c>
      <c r="B167" s="24">
        <v>18</v>
      </c>
      <c r="C167" s="27">
        <v>0.59275757806405882</v>
      </c>
      <c r="D167" s="27">
        <v>0.60029293121210203</v>
      </c>
    </row>
    <row r="168" spans="1:4" x14ac:dyDescent="0.2">
      <c r="A168" s="24">
        <v>6</v>
      </c>
      <c r="B168" s="24">
        <v>19</v>
      </c>
      <c r="C168" s="27">
        <v>0.13590777696420031</v>
      </c>
      <c r="D168" s="27">
        <v>0.61538471589717159</v>
      </c>
    </row>
    <row r="169" spans="1:4" x14ac:dyDescent="0.2">
      <c r="A169" s="24">
        <v>6</v>
      </c>
      <c r="B169" s="24">
        <v>20</v>
      </c>
      <c r="C169" s="27">
        <v>0.95657697393892238</v>
      </c>
      <c r="D169" s="27">
        <v>8.5110315086911026E-2</v>
      </c>
    </row>
    <row r="170" spans="1:4" x14ac:dyDescent="0.2">
      <c r="A170" s="24">
        <v>7</v>
      </c>
      <c r="B170" s="24">
        <v>1</v>
      </c>
      <c r="C170" s="27">
        <v>0.76371625613453531</v>
      </c>
      <c r="D170" s="27"/>
    </row>
    <row r="171" spans="1:4" x14ac:dyDescent="0.2">
      <c r="A171" s="24">
        <v>7</v>
      </c>
      <c r="B171" s="24">
        <v>2</v>
      </c>
      <c r="C171" s="27">
        <v>0.98037137682484832</v>
      </c>
      <c r="D171" s="27">
        <v>0.61446706758741299</v>
      </c>
    </row>
    <row r="172" spans="1:4" x14ac:dyDescent="0.2">
      <c r="A172" s="24">
        <v>7</v>
      </c>
      <c r="B172" s="24">
        <v>3</v>
      </c>
      <c r="C172" s="27">
        <v>0.83313952954594284</v>
      </c>
      <c r="D172" s="27">
        <v>0.80046913127367658</v>
      </c>
    </row>
    <row r="173" spans="1:4" x14ac:dyDescent="0.2">
      <c r="A173" s="24">
        <v>7</v>
      </c>
      <c r="B173" s="24">
        <v>4</v>
      </c>
      <c r="C173" s="27">
        <v>0.66469162963053485</v>
      </c>
      <c r="D173" s="27">
        <v>0.21844296450937228</v>
      </c>
    </row>
    <row r="174" spans="1:4" x14ac:dyDescent="0.2">
      <c r="A174" s="24">
        <v>7</v>
      </c>
      <c r="B174" s="24">
        <v>5</v>
      </c>
      <c r="C174" s="27">
        <v>0.20120671991740702</v>
      </c>
      <c r="D174" s="27">
        <v>0.95405925029840577</v>
      </c>
    </row>
    <row r="175" spans="1:4" x14ac:dyDescent="0.2">
      <c r="A175" s="24">
        <v>7</v>
      </c>
      <c r="B175" s="24">
        <v>6</v>
      </c>
      <c r="C175" s="27">
        <v>0.62286532245188131</v>
      </c>
      <c r="D175" s="27">
        <v>0.57901410382509977</v>
      </c>
    </row>
    <row r="176" spans="1:4" x14ac:dyDescent="0.2">
      <c r="A176" s="24">
        <v>7</v>
      </c>
      <c r="B176" s="24">
        <v>7</v>
      </c>
      <c r="C176" s="27">
        <v>0.21826155258527524</v>
      </c>
      <c r="D176" s="27">
        <v>0.2194624357689331</v>
      </c>
    </row>
    <row r="177" spans="1:4" x14ac:dyDescent="0.2">
      <c r="A177" s="24">
        <v>7</v>
      </c>
      <c r="B177" s="24">
        <v>8</v>
      </c>
      <c r="C177" s="27">
        <v>0.93042424628944731</v>
      </c>
      <c r="D177" s="27">
        <v>8.966371178497512E-2</v>
      </c>
    </row>
    <row r="178" spans="1:4" x14ac:dyDescent="0.2">
      <c r="A178" s="24">
        <v>7</v>
      </c>
      <c r="B178" s="24">
        <v>9</v>
      </c>
      <c r="C178" s="27">
        <v>8.4810088230167224E-3</v>
      </c>
      <c r="D178" s="27">
        <v>0.27784483599363685</v>
      </c>
    </row>
    <row r="179" spans="1:4" x14ac:dyDescent="0.2">
      <c r="A179" s="24">
        <v>7</v>
      </c>
      <c r="B179" s="24">
        <v>10</v>
      </c>
      <c r="C179" s="27">
        <v>0.88305140197253107</v>
      </c>
      <c r="D179" s="27">
        <v>0.66018414163612726</v>
      </c>
    </row>
    <row r="180" spans="1:4" x14ac:dyDescent="0.2">
      <c r="A180" s="24">
        <v>7</v>
      </c>
      <c r="B180" s="24">
        <v>11</v>
      </c>
      <c r="C180" s="27">
        <v>0.44458849074108731</v>
      </c>
      <c r="D180" s="27">
        <v>0.62793079711514477</v>
      </c>
    </row>
    <row r="181" spans="1:4" x14ac:dyDescent="0.2">
      <c r="A181" s="24">
        <v>7</v>
      </c>
      <c r="B181" s="24">
        <v>12</v>
      </c>
      <c r="C181" s="27">
        <v>0.38687216529320645</v>
      </c>
      <c r="D181" s="27">
        <v>0.44408517723483476</v>
      </c>
    </row>
    <row r="182" spans="1:4" x14ac:dyDescent="0.2">
      <c r="A182" s="24">
        <v>7</v>
      </c>
      <c r="B182" s="24">
        <v>13</v>
      </c>
      <c r="C182" s="27">
        <v>8.7653054171269673E-2</v>
      </c>
      <c r="D182" s="27">
        <v>0.52243212834939656</v>
      </c>
    </row>
    <row r="183" spans="1:4" x14ac:dyDescent="0.2">
      <c r="A183" s="24">
        <v>7</v>
      </c>
      <c r="B183" s="24">
        <v>14</v>
      </c>
      <c r="C183" s="27">
        <v>0.87669201686267539</v>
      </c>
      <c r="D183" s="27">
        <v>0.52398365093219879</v>
      </c>
    </row>
    <row r="184" spans="1:4" x14ac:dyDescent="0.2">
      <c r="A184" s="24">
        <v>7</v>
      </c>
      <c r="B184" s="24">
        <v>15</v>
      </c>
      <c r="C184" s="27">
        <v>0.39957792327239949</v>
      </c>
      <c r="D184" s="27">
        <v>0.33510283675533292</v>
      </c>
    </row>
    <row r="185" spans="1:4" x14ac:dyDescent="0.2">
      <c r="A185" s="24">
        <v>7</v>
      </c>
      <c r="B185" s="24">
        <v>16</v>
      </c>
      <c r="C185" s="27">
        <v>0.45316969703515464</v>
      </c>
      <c r="D185" s="27">
        <v>9.8084186652870886E-2</v>
      </c>
    </row>
    <row r="186" spans="1:4" x14ac:dyDescent="0.2">
      <c r="A186" s="24">
        <v>7</v>
      </c>
      <c r="B186" s="24">
        <v>17</v>
      </c>
      <c r="C186" s="27">
        <v>0.48073201316783221</v>
      </c>
      <c r="D186" s="27">
        <v>0.44013276532117496</v>
      </c>
    </row>
    <row r="187" spans="1:4" x14ac:dyDescent="0.2">
      <c r="A187" s="24">
        <v>7</v>
      </c>
      <c r="B187" s="24">
        <v>18</v>
      </c>
      <c r="C187" s="27">
        <v>0.70946904763043384</v>
      </c>
      <c r="D187" s="27">
        <v>0.99730880139227918</v>
      </c>
    </row>
    <row r="188" spans="1:4" x14ac:dyDescent="0.2">
      <c r="A188" s="24">
        <v>7</v>
      </c>
      <c r="B188" s="24">
        <v>19</v>
      </c>
      <c r="C188" s="27">
        <v>0.33265109157670714</v>
      </c>
      <c r="D188" s="27">
        <v>0.16179283267443501</v>
      </c>
    </row>
    <row r="189" spans="1:4" x14ac:dyDescent="0.2">
      <c r="A189" s="24">
        <v>7</v>
      </c>
      <c r="B189" s="24">
        <v>20</v>
      </c>
      <c r="C189" s="27">
        <v>0.57625859379643107</v>
      </c>
      <c r="D189" s="27">
        <v>0.53848294913507122</v>
      </c>
    </row>
    <row r="190" spans="1:4" x14ac:dyDescent="0.2">
      <c r="A190" s="24">
        <v>8</v>
      </c>
      <c r="B190" s="24">
        <v>1</v>
      </c>
      <c r="C190" s="27">
        <v>0.14789325251559049</v>
      </c>
      <c r="D190" s="27"/>
    </row>
    <row r="191" spans="1:4" x14ac:dyDescent="0.2">
      <c r="A191" s="24">
        <v>8</v>
      </c>
      <c r="B191" s="24">
        <v>2</v>
      </c>
      <c r="C191" s="27">
        <v>0.42009625190515143</v>
      </c>
      <c r="D191" s="27">
        <v>0.55367015994600377</v>
      </c>
    </row>
    <row r="192" spans="1:4" x14ac:dyDescent="0.2">
      <c r="A192" s="24">
        <v>8</v>
      </c>
      <c r="B192" s="24">
        <v>3</v>
      </c>
      <c r="C192" s="27">
        <v>0.50042281220642448</v>
      </c>
      <c r="D192" s="27">
        <v>0.71058542382612289</v>
      </c>
    </row>
    <row r="193" spans="1:4" x14ac:dyDescent="0.2">
      <c r="A193" s="24">
        <v>8</v>
      </c>
      <c r="B193" s="24">
        <v>4</v>
      </c>
      <c r="C193" s="27">
        <v>0.226503708597252</v>
      </c>
      <c r="D193" s="27">
        <v>0.62089391362546342</v>
      </c>
    </row>
    <row r="194" spans="1:4" x14ac:dyDescent="0.2">
      <c r="A194" s="24">
        <v>8</v>
      </c>
      <c r="B194" s="24">
        <v>5</v>
      </c>
      <c r="C194" s="27">
        <v>7.7569149936472792E-3</v>
      </c>
      <c r="D194" s="27">
        <v>0.4679573014547278</v>
      </c>
    </row>
    <row r="195" spans="1:4" x14ac:dyDescent="0.2">
      <c r="A195" s="24">
        <v>8</v>
      </c>
      <c r="B195" s="24">
        <v>6</v>
      </c>
      <c r="C195" s="27">
        <v>0.51625081718044663</v>
      </c>
      <c r="D195" s="27">
        <v>0.21407066283389597</v>
      </c>
    </row>
    <row r="196" spans="1:4" x14ac:dyDescent="0.2">
      <c r="A196" s="24">
        <v>8</v>
      </c>
      <c r="B196" s="24">
        <v>7</v>
      </c>
      <c r="C196" s="27">
        <v>0.63853051077540035</v>
      </c>
      <c r="D196" s="27">
        <v>0.42970516486151544</v>
      </c>
    </row>
    <row r="197" spans="1:4" x14ac:dyDescent="0.2">
      <c r="A197" s="24">
        <v>8</v>
      </c>
      <c r="B197" s="24">
        <v>8</v>
      </c>
      <c r="C197" s="27">
        <v>0.40771964902521185</v>
      </c>
      <c r="D197" s="27">
        <v>8.0128228435747073E-2</v>
      </c>
    </row>
    <row r="198" spans="1:4" x14ac:dyDescent="0.2">
      <c r="A198" s="24">
        <v>8</v>
      </c>
      <c r="B198" s="24">
        <v>9</v>
      </c>
      <c r="C198" s="27">
        <v>0.4926954159595891</v>
      </c>
      <c r="D198" s="27">
        <v>3.3586316791580306E-2</v>
      </c>
    </row>
    <row r="199" spans="1:4" x14ac:dyDescent="0.2">
      <c r="A199" s="24">
        <v>8</v>
      </c>
      <c r="B199" s="24">
        <v>10</v>
      </c>
      <c r="C199" s="27">
        <v>0.52129680812259893</v>
      </c>
      <c r="D199" s="27">
        <v>0.6827848790283545</v>
      </c>
    </row>
    <row r="200" spans="1:4" x14ac:dyDescent="0.2">
      <c r="A200" s="24">
        <v>8</v>
      </c>
      <c r="B200" s="24">
        <v>11</v>
      </c>
      <c r="C200" s="27">
        <v>0.16931734236073048</v>
      </c>
      <c r="D200" s="27">
        <v>0.46148178746825241</v>
      </c>
    </row>
    <row r="201" spans="1:4" x14ac:dyDescent="0.2">
      <c r="A201" s="24">
        <v>8</v>
      </c>
      <c r="B201" s="24">
        <v>12</v>
      </c>
      <c r="C201" s="27">
        <v>0.56557741709217091</v>
      </c>
      <c r="D201" s="27">
        <v>0.64395302357138695</v>
      </c>
    </row>
    <row r="202" spans="1:4" x14ac:dyDescent="0.2">
      <c r="A202" s="24">
        <v>8</v>
      </c>
      <c r="B202" s="24">
        <v>13</v>
      </c>
      <c r="C202" s="27">
        <v>0.63216627867259956</v>
      </c>
      <c r="D202" s="27">
        <v>0.42127808608570294</v>
      </c>
    </row>
    <row r="203" spans="1:4" x14ac:dyDescent="0.2">
      <c r="A203" s="24">
        <v>8</v>
      </c>
      <c r="B203" s="24">
        <v>14</v>
      </c>
      <c r="C203" s="27">
        <v>0.20082509632145862</v>
      </c>
      <c r="D203" s="27">
        <v>0.46482643204991358</v>
      </c>
    </row>
    <row r="204" spans="1:4" x14ac:dyDescent="0.2">
      <c r="A204" s="24">
        <v>8</v>
      </c>
      <c r="B204" s="24">
        <v>15</v>
      </c>
      <c r="C204" s="27">
        <v>0.41107535152800223</v>
      </c>
      <c r="D204" s="27">
        <v>0.37760466223062716</v>
      </c>
    </row>
    <row r="205" spans="1:4" x14ac:dyDescent="0.2">
      <c r="A205" s="24">
        <v>8</v>
      </c>
      <c r="B205" s="24">
        <v>16</v>
      </c>
      <c r="C205" s="27">
        <v>0.85212153217062614</v>
      </c>
      <c r="D205" s="27">
        <v>0.68957312723018982</v>
      </c>
    </row>
    <row r="206" spans="1:4" x14ac:dyDescent="0.2">
      <c r="A206" s="24">
        <v>8</v>
      </c>
      <c r="B206" s="24">
        <v>17</v>
      </c>
      <c r="C206" s="27">
        <v>0.18743748817933048</v>
      </c>
      <c r="D206" s="27">
        <v>0.50336686565720734</v>
      </c>
    </row>
    <row r="207" spans="1:4" x14ac:dyDescent="0.2">
      <c r="A207" s="24">
        <v>8</v>
      </c>
      <c r="B207" s="24">
        <v>18</v>
      </c>
      <c r="C207" s="27">
        <v>0.60925107363594577</v>
      </c>
      <c r="D207" s="27">
        <v>0.99868152288209788</v>
      </c>
    </row>
    <row r="208" spans="1:4" x14ac:dyDescent="0.2">
      <c r="A208" s="24">
        <v>8</v>
      </c>
      <c r="B208" s="24">
        <v>19</v>
      </c>
      <c r="C208" s="27">
        <v>0.7855554209499277</v>
      </c>
      <c r="D208" s="27">
        <v>0.46229893593145854</v>
      </c>
    </row>
    <row r="209" spans="1:4" x14ac:dyDescent="0.2">
      <c r="A209" s="24">
        <v>8</v>
      </c>
      <c r="B209" s="24">
        <v>20</v>
      </c>
      <c r="C209" s="27">
        <v>0.66592168462414181</v>
      </c>
      <c r="D209" s="27">
        <v>0.57190649584754727</v>
      </c>
    </row>
    <row r="210" spans="1:4" x14ac:dyDescent="0.2">
      <c r="A210" s="24">
        <v>9</v>
      </c>
      <c r="B210" s="24">
        <v>1</v>
      </c>
      <c r="C210" s="27">
        <v>0.92684555494086773</v>
      </c>
      <c r="D210" s="27"/>
    </row>
    <row r="211" spans="1:4" x14ac:dyDescent="0.2">
      <c r="A211" s="24">
        <v>9</v>
      </c>
      <c r="B211" s="24">
        <v>2</v>
      </c>
      <c r="C211" s="27">
        <v>0.52095937469879483</v>
      </c>
      <c r="D211" s="27">
        <v>0.42550927068650846</v>
      </c>
    </row>
    <row r="212" spans="1:4" x14ac:dyDescent="0.2">
      <c r="A212" s="24">
        <v>9</v>
      </c>
      <c r="B212" s="24">
        <v>3</v>
      </c>
      <c r="C212" s="27">
        <v>0.12828067355328687</v>
      </c>
      <c r="D212" s="27">
        <v>0.76223664757564635</v>
      </c>
    </row>
    <row r="213" spans="1:4" x14ac:dyDescent="0.2">
      <c r="A213" s="24">
        <v>9</v>
      </c>
      <c r="B213" s="24">
        <v>4</v>
      </c>
      <c r="C213" s="27">
        <v>0.61341014155681139</v>
      </c>
      <c r="D213" s="27">
        <v>9.9919761698150866E-2</v>
      </c>
    </row>
    <row r="214" spans="1:4" x14ac:dyDescent="0.2">
      <c r="A214" s="24">
        <v>9</v>
      </c>
      <c r="B214" s="24">
        <v>5</v>
      </c>
      <c r="C214" s="27">
        <v>0.77713376059012418</v>
      </c>
      <c r="D214" s="27">
        <v>0.33657247415311375</v>
      </c>
    </row>
    <row r="215" spans="1:4" x14ac:dyDescent="0.2">
      <c r="A215" s="24">
        <v>9</v>
      </c>
      <c r="B215" s="24">
        <v>6</v>
      </c>
      <c r="C215" s="27">
        <v>0.7837954253713123</v>
      </c>
      <c r="D215" s="27">
        <v>0.18225066415123681</v>
      </c>
    </row>
    <row r="216" spans="1:4" x14ac:dyDescent="0.2">
      <c r="A216" s="24">
        <v>9</v>
      </c>
      <c r="B216" s="24">
        <v>7</v>
      </c>
      <c r="C216" s="27">
        <v>0.2116298938518264</v>
      </c>
      <c r="D216" s="27">
        <v>0.70325479494722776</v>
      </c>
    </row>
    <row r="217" spans="1:4" x14ac:dyDescent="0.2">
      <c r="A217" s="24">
        <v>9</v>
      </c>
      <c r="B217" s="24">
        <v>8</v>
      </c>
      <c r="C217" s="27">
        <v>0.34669287795818571</v>
      </c>
      <c r="D217" s="27">
        <v>0.12053889243649363</v>
      </c>
    </row>
    <row r="218" spans="1:4" x14ac:dyDescent="0.2">
      <c r="A218" s="24">
        <v>9</v>
      </c>
      <c r="B218" s="24">
        <v>9</v>
      </c>
      <c r="C218" s="27">
        <v>0.94958300794375383</v>
      </c>
      <c r="D218" s="27">
        <v>4.4898227637565458E-2</v>
      </c>
    </row>
    <row r="219" spans="1:4" x14ac:dyDescent="0.2">
      <c r="A219" s="24">
        <v>9</v>
      </c>
      <c r="B219" s="24">
        <v>10</v>
      </c>
      <c r="C219" s="27">
        <v>0.57448210975796465</v>
      </c>
      <c r="D219" s="27">
        <v>0.83819410354448898</v>
      </c>
    </row>
    <row r="220" spans="1:4" x14ac:dyDescent="0.2">
      <c r="A220" s="24">
        <v>9</v>
      </c>
      <c r="B220" s="24">
        <v>11</v>
      </c>
      <c r="C220" s="27">
        <v>9.3103345402052895E-2</v>
      </c>
      <c r="D220" s="27">
        <v>0.98295583124672903</v>
      </c>
    </row>
    <row r="221" spans="1:4" x14ac:dyDescent="0.2">
      <c r="A221" s="24">
        <v>9</v>
      </c>
      <c r="B221" s="24">
        <v>12</v>
      </c>
      <c r="C221" s="27">
        <v>5.1184956855507169E-2</v>
      </c>
      <c r="D221" s="27">
        <v>0.28062765807815793</v>
      </c>
    </row>
    <row r="222" spans="1:4" x14ac:dyDescent="0.2">
      <c r="A222" s="24">
        <v>9</v>
      </c>
      <c r="B222" s="24">
        <v>13</v>
      </c>
      <c r="C222" s="27">
        <v>0.14989986855687842</v>
      </c>
      <c r="D222" s="27">
        <v>0.23563581712227011</v>
      </c>
    </row>
    <row r="223" spans="1:4" x14ac:dyDescent="0.2">
      <c r="A223" s="24">
        <v>9</v>
      </c>
      <c r="B223" s="24">
        <v>14</v>
      </c>
      <c r="C223" s="27">
        <v>0.57731100570357574</v>
      </c>
      <c r="D223" s="27">
        <v>0.41574777007162012</v>
      </c>
    </row>
    <row r="224" spans="1:4" x14ac:dyDescent="0.2">
      <c r="A224" s="24">
        <v>9</v>
      </c>
      <c r="B224" s="24">
        <v>15</v>
      </c>
      <c r="C224" s="27">
        <v>0.32098244491280181</v>
      </c>
      <c r="D224" s="27">
        <v>0.29955769822692035</v>
      </c>
    </row>
    <row r="225" spans="1:4" x14ac:dyDescent="0.2">
      <c r="A225" s="24">
        <v>9</v>
      </c>
      <c r="B225" s="24">
        <v>16</v>
      </c>
      <c r="C225" s="27">
        <v>7.7916600776859357E-2</v>
      </c>
      <c r="D225" s="27">
        <v>0.13916600001143864</v>
      </c>
    </row>
    <row r="226" spans="1:4" x14ac:dyDescent="0.2">
      <c r="A226" s="24">
        <v>9</v>
      </c>
      <c r="B226" s="24">
        <v>17</v>
      </c>
      <c r="C226" s="27">
        <v>0.98592767013964511</v>
      </c>
      <c r="D226" s="27">
        <v>0.19113723928213522</v>
      </c>
    </row>
    <row r="227" spans="1:4" x14ac:dyDescent="0.2">
      <c r="A227" s="24">
        <v>9</v>
      </c>
      <c r="B227" s="24">
        <v>18</v>
      </c>
      <c r="C227" s="27">
        <v>9.4405528036224706E-2</v>
      </c>
      <c r="D227" s="27">
        <v>0.51521975578228474</v>
      </c>
    </row>
    <row r="228" spans="1:4" x14ac:dyDescent="0.2">
      <c r="A228" s="24">
        <v>9</v>
      </c>
      <c r="B228" s="24">
        <v>19</v>
      </c>
      <c r="C228" s="27">
        <v>0.79464247037497349</v>
      </c>
      <c r="D228" s="27">
        <v>0.36779462414551656</v>
      </c>
    </row>
    <row r="229" spans="1:4" x14ac:dyDescent="0.2">
      <c r="A229" s="24">
        <v>9</v>
      </c>
      <c r="B229" s="24">
        <v>20</v>
      </c>
      <c r="C229" s="27">
        <v>0.87250805464938863</v>
      </c>
      <c r="D229" s="27">
        <v>7.9305146616218347E-2</v>
      </c>
    </row>
    <row r="230" spans="1:4" x14ac:dyDescent="0.2">
      <c r="A230" s="24">
        <v>10</v>
      </c>
      <c r="B230" s="24">
        <v>1</v>
      </c>
      <c r="C230" s="27">
        <v>0.56817160318504134</v>
      </c>
      <c r="D230" s="27"/>
    </row>
    <row r="231" spans="1:4" x14ac:dyDescent="0.2">
      <c r="A231" s="24">
        <v>10</v>
      </c>
      <c r="B231" s="24">
        <v>2</v>
      </c>
      <c r="C231" s="27">
        <v>0.74168005253905933</v>
      </c>
      <c r="D231" s="27">
        <v>0.88197187111599484</v>
      </c>
    </row>
    <row r="232" spans="1:4" x14ac:dyDescent="0.2">
      <c r="A232" s="24">
        <v>10</v>
      </c>
      <c r="B232" s="24">
        <v>3</v>
      </c>
      <c r="C232" s="27">
        <v>0.77324210543548888</v>
      </c>
      <c r="D232" s="27">
        <v>0.33743301074660592</v>
      </c>
    </row>
    <row r="233" spans="1:4" x14ac:dyDescent="0.2">
      <c r="A233" s="24">
        <v>10</v>
      </c>
      <c r="B233" s="24">
        <v>4</v>
      </c>
      <c r="C233" s="27">
        <v>0.49189412861862214</v>
      </c>
      <c r="D233" s="27">
        <v>0.36166166292862556</v>
      </c>
    </row>
    <row r="234" spans="1:4" x14ac:dyDescent="0.2">
      <c r="A234" s="24">
        <v>10</v>
      </c>
      <c r="B234" s="24">
        <v>5</v>
      </c>
      <c r="C234" s="27">
        <v>0.99836901181464033</v>
      </c>
      <c r="D234" s="27">
        <v>0.67598593800443196</v>
      </c>
    </row>
    <row r="235" spans="1:4" x14ac:dyDescent="0.2">
      <c r="A235" s="24">
        <v>10</v>
      </c>
      <c r="B235" s="24">
        <v>6</v>
      </c>
      <c r="C235" s="27">
        <v>0.10290689399972097</v>
      </c>
      <c r="D235" s="27">
        <v>0.24550918713419179</v>
      </c>
    </row>
    <row r="236" spans="1:4" x14ac:dyDescent="0.2">
      <c r="A236" s="24">
        <v>10</v>
      </c>
      <c r="B236" s="24">
        <v>7</v>
      </c>
      <c r="C236" s="27">
        <v>0.93188989691614155</v>
      </c>
      <c r="D236" s="27">
        <v>0.52098036862011177</v>
      </c>
    </row>
    <row r="237" spans="1:4" x14ac:dyDescent="0.2">
      <c r="A237" s="24">
        <v>10</v>
      </c>
      <c r="B237" s="24">
        <v>8</v>
      </c>
      <c r="C237" s="27">
        <v>0.99516678324192342</v>
      </c>
      <c r="D237" s="27">
        <v>0.82195716068393454</v>
      </c>
    </row>
    <row r="238" spans="1:4" x14ac:dyDescent="0.2">
      <c r="A238" s="24">
        <v>10</v>
      </c>
      <c r="B238" s="24">
        <v>9</v>
      </c>
      <c r="C238" s="27">
        <v>0.60738987251347254</v>
      </c>
      <c r="D238" s="27">
        <v>6.0462992783157254E-2</v>
      </c>
    </row>
    <row r="239" spans="1:4" x14ac:dyDescent="0.2">
      <c r="A239" s="24">
        <v>10</v>
      </c>
      <c r="B239" s="24">
        <v>10</v>
      </c>
      <c r="C239" s="27">
        <v>0.64514693645250865</v>
      </c>
      <c r="D239" s="27">
        <v>0.53736940980920345</v>
      </c>
    </row>
    <row r="240" spans="1:4" x14ac:dyDescent="0.2">
      <c r="A240" s="24">
        <v>10</v>
      </c>
      <c r="B240" s="24">
        <v>11</v>
      </c>
      <c r="C240" s="27">
        <v>0.30264633297266696</v>
      </c>
      <c r="D240" s="27">
        <v>0.59427334311753155</v>
      </c>
    </row>
    <row r="241" spans="1:7" x14ac:dyDescent="0.2">
      <c r="A241" s="24">
        <v>10</v>
      </c>
      <c r="B241" s="24">
        <v>12</v>
      </c>
      <c r="C241" s="27">
        <v>0.78305913514582748</v>
      </c>
      <c r="D241" s="27">
        <v>9.8288778496186557E-2</v>
      </c>
    </row>
    <row r="242" spans="1:7" x14ac:dyDescent="0.2">
      <c r="A242" s="24">
        <v>10</v>
      </c>
      <c r="B242" s="24">
        <v>13</v>
      </c>
      <c r="C242" s="27">
        <v>0.93812006206334053</v>
      </c>
      <c r="D242" s="27">
        <v>0.97406023384151552</v>
      </c>
    </row>
    <row r="243" spans="1:7" x14ac:dyDescent="0.2">
      <c r="A243" s="24">
        <v>10</v>
      </c>
      <c r="B243" s="24">
        <v>14</v>
      </c>
      <c r="C243" s="27">
        <v>0.60653455700224856</v>
      </c>
      <c r="D243" s="27">
        <v>2.7305591168393706E-2</v>
      </c>
    </row>
    <row r="244" spans="1:7" x14ac:dyDescent="0.2">
      <c r="A244" s="24">
        <v>10</v>
      </c>
      <c r="B244" s="24">
        <v>15</v>
      </c>
      <c r="C244" s="27">
        <v>0.88926357440420511</v>
      </c>
      <c r="D244" s="27">
        <v>0.37068302988353474</v>
      </c>
    </row>
    <row r="245" spans="1:7" x14ac:dyDescent="0.2">
      <c r="A245" s="24">
        <v>10</v>
      </c>
      <c r="B245" s="24">
        <v>16</v>
      </c>
      <c r="C245" s="27">
        <v>0.70612356632706164</v>
      </c>
      <c r="D245" s="27">
        <v>0.52052210147787414</v>
      </c>
    </row>
    <row r="246" spans="1:7" x14ac:dyDescent="0.2">
      <c r="A246" s="24">
        <v>10</v>
      </c>
      <c r="B246" s="24">
        <v>17</v>
      </c>
      <c r="C246" s="27">
        <v>4.031483698143512E-2</v>
      </c>
      <c r="D246" s="27">
        <v>0.56973973405525846</v>
      </c>
    </row>
    <row r="247" spans="1:7" x14ac:dyDescent="0.2">
      <c r="A247" s="24">
        <v>10</v>
      </c>
      <c r="B247" s="24">
        <v>18</v>
      </c>
      <c r="C247" s="27">
        <v>0.81169574771323405</v>
      </c>
      <c r="D247" s="27">
        <v>0.4089205843440008</v>
      </c>
    </row>
    <row r="248" spans="1:7" x14ac:dyDescent="0.2">
      <c r="A248" s="24">
        <v>10</v>
      </c>
      <c r="B248" s="24">
        <v>19</v>
      </c>
      <c r="C248" s="27">
        <v>0.36539096761312051</v>
      </c>
      <c r="D248" s="27">
        <v>0.28035232363644758</v>
      </c>
    </row>
    <row r="249" spans="1:7" x14ac:dyDescent="0.2">
      <c r="A249" s="24">
        <v>10</v>
      </c>
      <c r="B249" s="24">
        <v>20</v>
      </c>
      <c r="C249" s="27">
        <v>0.96663360539977938</v>
      </c>
      <c r="D249" s="27">
        <v>0.7018074527215894</v>
      </c>
    </row>
    <row r="252" spans="1:7" x14ac:dyDescent="0.2">
      <c r="A252" s="28" t="s">
        <v>57</v>
      </c>
      <c r="B252" s="29"/>
      <c r="C252" s="29"/>
      <c r="D252" s="29"/>
      <c r="E252" s="29"/>
      <c r="F252" s="29"/>
      <c r="G252" s="29"/>
    </row>
    <row r="253" spans="1:7" x14ac:dyDescent="0.2">
      <c r="A253" s="30" t="s">
        <v>58</v>
      </c>
      <c r="B253" s="29"/>
      <c r="C253" s="29"/>
      <c r="D253" s="29"/>
      <c r="E253" s="29"/>
      <c r="F253" s="29"/>
      <c r="G253" s="29"/>
    </row>
    <row r="254" spans="1:7" x14ac:dyDescent="0.2">
      <c r="A254" s="29"/>
      <c r="B254" s="29"/>
      <c r="C254" s="29"/>
      <c r="D254" s="29"/>
      <c r="E254" s="29"/>
      <c r="F254" s="29"/>
      <c r="G254" s="29"/>
    </row>
    <row r="255" spans="1:7" ht="36" customHeight="1" x14ac:dyDescent="0.2">
      <c r="A255" s="31" t="s">
        <v>21</v>
      </c>
      <c r="B255" s="31" t="s">
        <v>22</v>
      </c>
      <c r="C255" s="31" t="s">
        <v>23</v>
      </c>
      <c r="D255" s="31" t="s">
        <v>24</v>
      </c>
      <c r="E255" s="29"/>
      <c r="F255" s="29"/>
      <c r="G255" s="29"/>
    </row>
    <row r="256" spans="1:7" ht="22" customHeight="1" x14ac:dyDescent="0.2">
      <c r="A256" s="32">
        <v>0</v>
      </c>
      <c r="B256" s="32">
        <v>22</v>
      </c>
      <c r="C256" s="33">
        <v>10</v>
      </c>
      <c r="D256" s="33">
        <v>10</v>
      </c>
      <c r="E256" s="29"/>
      <c r="F256" s="29"/>
      <c r="G256" s="29"/>
    </row>
    <row r="257" spans="1:7" ht="22" customHeight="1" x14ac:dyDescent="0.2">
      <c r="A257" s="32">
        <v>0.1</v>
      </c>
      <c r="B257" s="32">
        <v>24.200000000000159</v>
      </c>
      <c r="C257" s="33">
        <v>8</v>
      </c>
      <c r="D257" s="33">
        <v>8</v>
      </c>
      <c r="E257" s="29"/>
      <c r="F257" s="29"/>
      <c r="G257" s="29"/>
    </row>
    <row r="258" spans="1:7" ht="22" customHeight="1" x14ac:dyDescent="0.2">
      <c r="A258" s="32">
        <v>0.25</v>
      </c>
      <c r="B258" s="32">
        <v>19.5</v>
      </c>
      <c r="C258" s="33">
        <v>4</v>
      </c>
      <c r="D258" s="33">
        <v>4</v>
      </c>
      <c r="E258" s="29"/>
      <c r="F258" s="29"/>
      <c r="G258" s="29"/>
    </row>
    <row r="259" spans="1:7" ht="22" customHeight="1" x14ac:dyDescent="0.2">
      <c r="A259" s="32">
        <v>0.5</v>
      </c>
      <c r="B259" s="32">
        <v>16</v>
      </c>
      <c r="C259" s="33">
        <v>4</v>
      </c>
      <c r="D259" s="33">
        <v>2</v>
      </c>
      <c r="E259" s="29"/>
      <c r="F259" s="29"/>
      <c r="G259" s="29"/>
    </row>
    <row r="260" spans="1:7" ht="22" customHeight="1" x14ac:dyDescent="0.2">
      <c r="A260" s="32">
        <v>1</v>
      </c>
      <c r="B260" s="32">
        <v>10</v>
      </c>
      <c r="C260" s="33">
        <v>2</v>
      </c>
      <c r="D260" s="33">
        <v>2</v>
      </c>
      <c r="E260" s="29"/>
      <c r="F260" s="29"/>
      <c r="G260" s="29"/>
    </row>
    <row r="261" spans="1:7" x14ac:dyDescent="0.2">
      <c r="A261" s="30" t="s">
        <v>59</v>
      </c>
      <c r="B261" s="29"/>
      <c r="C261" s="29"/>
      <c r="D261" s="29"/>
      <c r="E261" s="29"/>
      <c r="F261" s="29"/>
      <c r="G261" s="29"/>
    </row>
    <row r="305" spans="1:7" x14ac:dyDescent="0.2">
      <c r="A305" s="35" t="s">
        <v>60</v>
      </c>
      <c r="B305" s="37"/>
      <c r="C305" s="37"/>
      <c r="D305" s="37"/>
      <c r="E305" s="37"/>
      <c r="F305" s="37"/>
      <c r="G305" s="37"/>
    </row>
    <row r="306" spans="1:7" x14ac:dyDescent="0.2">
      <c r="A306" s="38" t="s">
        <v>61</v>
      </c>
      <c r="B306" s="37"/>
      <c r="C306" s="37"/>
      <c r="D306" s="37"/>
      <c r="E306" s="37"/>
      <c r="F306" s="37"/>
      <c r="G306" s="37"/>
    </row>
    <row r="307" spans="1:7" x14ac:dyDescent="0.2">
      <c r="A307" s="37"/>
      <c r="B307" s="37"/>
      <c r="C307" s="37"/>
      <c r="D307" s="37"/>
      <c r="E307" s="37"/>
      <c r="F307" s="37"/>
      <c r="G307" s="37"/>
    </row>
    <row r="308" spans="1:7" ht="36" customHeight="1" x14ac:dyDescent="0.2">
      <c r="A308" s="39" t="s">
        <v>62</v>
      </c>
      <c r="B308" s="39" t="s">
        <v>22</v>
      </c>
      <c r="C308" s="39" t="s">
        <v>23</v>
      </c>
      <c r="D308" s="39" t="s">
        <v>24</v>
      </c>
      <c r="E308" s="37"/>
      <c r="F308" s="37"/>
      <c r="G308" s="37"/>
    </row>
    <row r="309" spans="1:7" ht="22" customHeight="1" x14ac:dyDescent="0.2">
      <c r="A309" s="40">
        <v>0.5</v>
      </c>
      <c r="B309" s="40">
        <v>19.5</v>
      </c>
      <c r="C309" s="41">
        <v>4</v>
      </c>
      <c r="D309" s="41">
        <v>4</v>
      </c>
      <c r="E309" s="37"/>
      <c r="F309" s="37"/>
      <c r="G309" s="37"/>
    </row>
    <row r="310" spans="1:7" ht="22" customHeight="1" x14ac:dyDescent="0.2">
      <c r="A310" s="40">
        <v>1</v>
      </c>
      <c r="B310" s="40">
        <v>19.5</v>
      </c>
      <c r="C310" s="41">
        <v>4</v>
      </c>
      <c r="D310" s="41">
        <v>4</v>
      </c>
      <c r="E310" s="37"/>
      <c r="F310" s="37"/>
      <c r="G310" s="37"/>
    </row>
    <row r="311" spans="1:7" ht="22" customHeight="1" x14ac:dyDescent="0.2">
      <c r="A311" s="40">
        <v>2</v>
      </c>
      <c r="B311" s="40">
        <v>19.5</v>
      </c>
      <c r="C311" s="41">
        <v>4</v>
      </c>
      <c r="D311" s="41">
        <v>4</v>
      </c>
      <c r="E311" s="37"/>
      <c r="F311" s="37"/>
      <c r="G311" s="37"/>
    </row>
    <row r="312" spans="1:7" ht="22" customHeight="1" x14ac:dyDescent="0.2">
      <c r="A312" s="40">
        <v>3</v>
      </c>
      <c r="B312" s="40">
        <v>19.5</v>
      </c>
      <c r="C312" s="41">
        <v>4</v>
      </c>
      <c r="D312" s="41">
        <v>4</v>
      </c>
      <c r="E312" s="37"/>
      <c r="F312" s="37"/>
      <c r="G312" s="37"/>
    </row>
    <row r="313" spans="1:7" x14ac:dyDescent="0.2">
      <c r="A313" s="38" t="s">
        <v>63</v>
      </c>
      <c r="B313" s="37"/>
      <c r="C313" s="37"/>
      <c r="D313" s="37"/>
      <c r="E313" s="37"/>
      <c r="F313" s="37"/>
      <c r="G313" s="37"/>
    </row>
    <row r="357" spans="1:7" x14ac:dyDescent="0.2">
      <c r="A357" s="43" t="s">
        <v>64</v>
      </c>
      <c r="B357" s="45"/>
      <c r="C357" s="45"/>
      <c r="D357" s="45"/>
      <c r="E357" s="45"/>
      <c r="F357" s="45"/>
      <c r="G357" s="45"/>
    </row>
    <row r="358" spans="1:7" x14ac:dyDescent="0.2">
      <c r="A358" s="47" t="s">
        <v>65</v>
      </c>
      <c r="B358" s="45"/>
      <c r="C358" s="45"/>
      <c r="D358" s="45"/>
      <c r="E358" s="45"/>
      <c r="F358" s="45"/>
      <c r="G358" s="45"/>
    </row>
    <row r="359" spans="1:7" x14ac:dyDescent="0.2">
      <c r="A359" s="45"/>
      <c r="B359" s="45"/>
      <c r="C359" s="45"/>
      <c r="D359" s="45"/>
      <c r="E359" s="45"/>
      <c r="F359" s="45"/>
      <c r="G359" s="45"/>
    </row>
    <row r="360" spans="1:7" ht="36" customHeight="1" x14ac:dyDescent="0.2">
      <c r="A360" s="48" t="s">
        <v>66</v>
      </c>
      <c r="B360" s="48" t="s">
        <v>22</v>
      </c>
      <c r="C360" s="48" t="s">
        <v>23</v>
      </c>
      <c r="D360" s="48" t="s">
        <v>67</v>
      </c>
      <c r="E360" s="45"/>
      <c r="F360" s="45"/>
      <c r="G360" s="45"/>
    </row>
    <row r="361" spans="1:7" ht="22" customHeight="1" x14ac:dyDescent="0.2">
      <c r="A361" s="49">
        <v>2</v>
      </c>
      <c r="B361" s="50">
        <v>11</v>
      </c>
      <c r="C361" s="49">
        <v>2</v>
      </c>
      <c r="D361" s="49">
        <v>8</v>
      </c>
      <c r="E361" s="45"/>
      <c r="F361" s="45"/>
      <c r="G361" s="45"/>
    </row>
    <row r="362" spans="1:7" ht="22" customHeight="1" x14ac:dyDescent="0.2">
      <c r="A362" s="49">
        <v>3</v>
      </c>
      <c r="B362" s="50">
        <v>17</v>
      </c>
      <c r="C362" s="49">
        <v>3</v>
      </c>
      <c r="D362" s="49">
        <v>3</v>
      </c>
      <c r="E362" s="45"/>
      <c r="F362" s="45"/>
      <c r="G362" s="45"/>
    </row>
    <row r="363" spans="1:7" ht="22" customHeight="1" x14ac:dyDescent="0.2">
      <c r="A363" s="49">
        <v>5</v>
      </c>
      <c r="B363" s="50">
        <v>19.5</v>
      </c>
      <c r="C363" s="49">
        <v>4</v>
      </c>
      <c r="D363" s="49">
        <v>0</v>
      </c>
      <c r="E363" s="45"/>
      <c r="F363" s="45"/>
      <c r="G363" s="45"/>
    </row>
    <row r="364" spans="1:7" ht="22" customHeight="1" x14ac:dyDescent="0.2">
      <c r="A364" s="49">
        <v>10</v>
      </c>
      <c r="B364" s="50">
        <v>19.5</v>
      </c>
      <c r="C364" s="49">
        <v>4</v>
      </c>
      <c r="D364" s="49">
        <v>0</v>
      </c>
      <c r="E364" s="45"/>
      <c r="F364" s="45"/>
      <c r="G364" s="45"/>
    </row>
    <row r="365" spans="1:7" x14ac:dyDescent="0.2">
      <c r="A365" s="45"/>
      <c r="B365" s="45"/>
      <c r="C365" s="45"/>
      <c r="D365" s="45"/>
      <c r="E365" s="45"/>
      <c r="F365" s="45"/>
      <c r="G365" s="45"/>
    </row>
    <row r="366" spans="1:7" x14ac:dyDescent="0.2">
      <c r="A366" s="47" t="s">
        <v>68</v>
      </c>
      <c r="B366" s="45"/>
      <c r="C366" s="45"/>
      <c r="D366" s="45"/>
      <c r="E366" s="45"/>
      <c r="F366" s="45"/>
      <c r="G366" s="45"/>
    </row>
    <row r="367" spans="1:7" x14ac:dyDescent="0.2">
      <c r="A367" s="45"/>
      <c r="B367" s="45"/>
      <c r="C367" s="45"/>
      <c r="D367" s="45"/>
      <c r="E367" s="45"/>
      <c r="F367" s="45"/>
      <c r="G367" s="45"/>
    </row>
    <row r="368" spans="1:7" x14ac:dyDescent="0.2">
      <c r="A368" s="45" t="s">
        <v>69</v>
      </c>
      <c r="B368" s="45"/>
      <c r="C368" s="45"/>
      <c r="D368" s="49">
        <f ca="1">COUNTIF(Trades!P2:P21,"REJECTED")</f>
        <v>0</v>
      </c>
      <c r="E368" s="45"/>
      <c r="F368" s="45"/>
      <c r="G368" s="45"/>
    </row>
    <row r="371" spans="1:7" x14ac:dyDescent="0.2">
      <c r="A371" s="51" t="s">
        <v>71</v>
      </c>
      <c r="B371" s="52"/>
      <c r="C371" s="52"/>
      <c r="D371" s="52"/>
      <c r="E371" s="52"/>
      <c r="F371" s="52"/>
      <c r="G371" s="52"/>
    </row>
    <row r="372" spans="1:7" x14ac:dyDescent="0.2">
      <c r="A372" s="53" t="s">
        <v>72</v>
      </c>
      <c r="B372" s="52"/>
      <c r="C372" s="52"/>
      <c r="D372" s="52"/>
      <c r="E372" s="52"/>
      <c r="F372" s="52"/>
      <c r="G372" s="52"/>
    </row>
    <row r="373" spans="1:7" x14ac:dyDescent="0.2">
      <c r="A373" s="52"/>
      <c r="B373" s="52"/>
      <c r="C373" s="52"/>
      <c r="D373" s="52"/>
      <c r="E373" s="52"/>
      <c r="F373" s="52"/>
      <c r="G373" s="52"/>
    </row>
    <row r="374" spans="1:7" ht="36" customHeight="1" x14ac:dyDescent="0.2">
      <c r="A374" s="54" t="s">
        <v>73</v>
      </c>
      <c r="B374" s="54" t="s">
        <v>74</v>
      </c>
      <c r="C374" s="54" t="s">
        <v>22</v>
      </c>
      <c r="D374" s="54" t="s">
        <v>23</v>
      </c>
      <c r="E374" s="54" t="s">
        <v>67</v>
      </c>
      <c r="F374" s="52"/>
      <c r="G374" s="52"/>
    </row>
    <row r="375" spans="1:7" ht="22" customHeight="1" x14ac:dyDescent="0.2">
      <c r="A375" s="55">
        <v>0.5</v>
      </c>
      <c r="B375" s="55">
        <f>2*A375</f>
        <v>1</v>
      </c>
      <c r="C375" s="56">
        <v>9.5</v>
      </c>
      <c r="D375" s="57">
        <v>4</v>
      </c>
      <c r="E375" s="57">
        <v>0</v>
      </c>
      <c r="F375" s="52"/>
      <c r="G375" s="52"/>
    </row>
    <row r="376" spans="1:7" ht="22" customHeight="1" x14ac:dyDescent="0.2">
      <c r="A376" s="55">
        <v>1</v>
      </c>
      <c r="B376" s="55">
        <f>2*A376</f>
        <v>2</v>
      </c>
      <c r="C376" s="56">
        <v>19.5</v>
      </c>
      <c r="D376" s="57">
        <v>4</v>
      </c>
      <c r="E376" s="57">
        <v>0</v>
      </c>
      <c r="F376" s="52"/>
      <c r="G376" s="52"/>
    </row>
    <row r="377" spans="1:7" ht="22" customHeight="1" x14ac:dyDescent="0.2">
      <c r="A377" s="55">
        <v>1.5</v>
      </c>
      <c r="B377" s="55">
        <f>2*A377</f>
        <v>3</v>
      </c>
      <c r="C377" s="56">
        <v>29.5</v>
      </c>
      <c r="D377" s="57">
        <v>4</v>
      </c>
      <c r="E377" s="57">
        <v>0</v>
      </c>
      <c r="F377" s="52"/>
      <c r="G377" s="52"/>
    </row>
    <row r="378" spans="1:7" ht="22" customHeight="1" x14ac:dyDescent="0.2">
      <c r="A378" s="55">
        <v>2</v>
      </c>
      <c r="B378" s="55">
        <f>2*A378</f>
        <v>4</v>
      </c>
      <c r="C378" s="56">
        <v>39.5</v>
      </c>
      <c r="D378" s="57">
        <v>4</v>
      </c>
      <c r="E378" s="57">
        <v>0</v>
      </c>
      <c r="F378" s="52"/>
      <c r="G378" s="52"/>
    </row>
    <row r="379" spans="1:7" x14ac:dyDescent="0.2">
      <c r="A379" s="52"/>
      <c r="B379" s="52"/>
      <c r="C379" s="52"/>
      <c r="D379" s="52"/>
      <c r="E379" s="52"/>
      <c r="F379" s="52"/>
      <c r="G379" s="52"/>
    </row>
    <row r="380" spans="1:7" x14ac:dyDescent="0.2">
      <c r="A380" s="53" t="s">
        <v>75</v>
      </c>
      <c r="B380" s="52"/>
      <c r="C380" s="52"/>
      <c r="D380" s="52"/>
      <c r="E380" s="52"/>
      <c r="F380" s="52"/>
      <c r="G380" s="5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Trades</vt:lpstr>
      <vt:lpstr>Experiments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Zitang Huang</cp:lastModifiedBy>
  <dcterms:modified xsi:type="dcterms:W3CDTF">2026-09-16T07:01:11Z</dcterms:modified>
</cp:coreProperties>
</file>